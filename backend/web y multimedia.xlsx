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Ingr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€#,##0;[Red](€#,##0);-"/>
    <numFmt numFmtId="167" formatCode="dd/mm/yyyy"/>
    <numFmt numFmtId="168" formatCode="€#,##0.00;[Red](€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Dataset sintético generado para demo FlowIA. Empresa de servicios digitales: mantenimiento web, traducciones, noticias, intranets y publicidad.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Dataset sintético generado para demo FlowIA. Hoja de gastos estructurada para lectura automática.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Dataset sintético generado para demo FlowIA. Hoja de ingresos por cliente/servicio.</t>
      </text>
    </comment>
  </commentList>
</comments>
</file>

<file path=xl/tables/table1.xml><?xml version="1.0" encoding="utf-8"?>
<table xmlns="http://schemas.openxmlformats.org/spreadsheetml/2006/main" id="1" name="TablaEmpleados" displayName="TablaEmpleados" ref="A1:R501" headerRowCount="1">
  <autoFilter ref="A1:R501"/>
  <tableColumns count="18">
    <tableColumn id="1" name="Empleado_ID"/>
    <tableColumn id="2" name="Nombre"/>
    <tableColumn id="3" name="Apellidos"/>
    <tableColumn id="4" name="Departamento"/>
    <tableColumn id="5" name="Puesto"/>
    <tableColumn id="6" name="Servicio_Principal"/>
    <tableColumn id="7" name="Tipo_Contrato"/>
    <tableColumn id="8" name="Fecha_Alta"/>
    <tableColumn id="9" name="Fecha_Baja"/>
    <tableColumn id="10" name="Estado"/>
    <tableColumn id="11" name="Jornada_pct"/>
    <tableColumn id="12" name="Salario_Base_Anual_EUR"/>
    <tableColumn id="13" name="Bonus_pct"/>
    <tableColumn id="14" name="Coste_SS_pct"/>
    <tableColumn id="15" name="Coste_Total_Anual_EUR"/>
    <tableColumn id="16" name="Manager"/>
    <tableColumn id="17" name="Pais"/>
    <tableColumn id="18" name="Ciuda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aGastos" displayName="TablaGastos" ref="A1:N501" headerRowCount="1">
  <autoFilter ref="A1:N501"/>
  <tableColumns count="14">
    <tableColumn id="1" name="Gasto_ID"/>
    <tableColumn id="2" name="Fecha"/>
    <tableColumn id="3" name="Categoria"/>
    <tableColumn id="4" name="Subcategoria"/>
    <tableColumn id="5" name="Proveedor"/>
    <tableColumn id="6" name="Servicio_Asociado"/>
    <tableColumn id="7" name="Canal"/>
    <tableColumn id="8" name="Descripcion"/>
    <tableColumn id="9" name="Importe_Sin_IVA_EUR"/>
    <tableColumn id="10" name="IVA_pct"/>
    <tableColumn id="11" name="Importe_Total_EUR"/>
    <tableColumn id="12" name="Tipo_Gasto"/>
    <tableColumn id="13" name="Centro_Coste"/>
    <tableColumn id="14" name="Proyecto"/>
  </tableColumns>
  <tableStyleInfo name="TableStyleMedium6" showRowStripes="1" showColumnStripes="0"/>
</table>
</file>

<file path=xl/tables/table3.xml><?xml version="1.0" encoding="utf-8"?>
<table xmlns="http://schemas.openxmlformats.org/spreadsheetml/2006/main" id="3" name="TablaIngresos" displayName="TablaIngresos" ref="A1:P501" headerRowCount="1">
  <autoFilter ref="A1:P501"/>
  <tableColumns count="16">
    <tableColumn id="1" name="Ingreso_ID"/>
    <tableColumn id="2" name="Fecha"/>
    <tableColumn id="3" name="Cliente"/>
    <tableColumn id="4" name="Sector"/>
    <tableColumn id="5" name="Pais"/>
    <tableColumn id="6" name="Servicio"/>
    <tableColumn id="7" name="Canal"/>
    <tableColumn id="8" name="Proyecto"/>
    <tableColumn id="9" name="Unidades"/>
    <tableColumn id="10" name="Precio_Unitario_EUR"/>
    <tableColumn id="11" name="Ingreso_Bruto_EUR"/>
    <tableColumn id="12" name="Descuento_pct"/>
    <tableColumn id="13" name="Ingreso_Neto_EUR"/>
    <tableColumn id="14" name="Coste_Directo_EUR"/>
    <tableColumn id="15" name="Margen_Bruto_EUR"/>
    <tableColumn id="16" name="Estado_Factura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24" customWidth="1" min="5" max="5"/>
    <col width="24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0" customWidth="1" min="13" max="13"/>
    <col width="12" customWidth="1" min="14" max="14"/>
    <col width="20" customWidth="1" min="15" max="15"/>
    <col width="18" customWidth="1" min="16" max="16"/>
    <col width="12" customWidth="1" min="17" max="17"/>
    <col width="16" customWidth="1" min="18" max="18"/>
  </cols>
  <sheetData>
    <row r="1" ht="22" customHeight="1">
      <c r="A1" s="1" t="inlineStr">
        <is>
          <t>Empleado_ID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Departamento</t>
        </is>
      </c>
      <c r="E1" s="1" t="inlineStr">
        <is>
          <t>Puesto</t>
        </is>
      </c>
      <c r="F1" s="1" t="inlineStr">
        <is>
          <t>Servicio_Principal</t>
        </is>
      </c>
      <c r="G1" s="1" t="inlineStr">
        <is>
          <t>Tipo_Contrato</t>
        </is>
      </c>
      <c r="H1" s="1" t="inlineStr">
        <is>
          <t>Fecha_Alta</t>
        </is>
      </c>
      <c r="I1" s="1" t="inlineStr">
        <is>
          <t>Fecha_Baja</t>
        </is>
      </c>
      <c r="J1" s="1" t="inlineStr">
        <is>
          <t>Estado</t>
        </is>
      </c>
      <c r="K1" s="1" t="inlineStr">
        <is>
          <t>Jornada_pct</t>
        </is>
      </c>
      <c r="L1" s="1" t="inlineStr">
        <is>
          <t>Salario_Base_Anual_EUR</t>
        </is>
      </c>
      <c r="M1" s="1" t="inlineStr">
        <is>
          <t>Bonus_pct</t>
        </is>
      </c>
      <c r="N1" s="1" t="inlineStr">
        <is>
          <t>Coste_SS_pct</t>
        </is>
      </c>
      <c r="O1" s="1" t="inlineStr">
        <is>
          <t>Coste_Total_Anual_EUR</t>
        </is>
      </c>
      <c r="P1" s="1" t="inlineStr">
        <is>
          <t>Manager</t>
        </is>
      </c>
      <c r="Q1" s="1" t="inlineStr">
        <is>
          <t>Pais</t>
        </is>
      </c>
      <c r="R1" s="1" t="inlineStr">
        <is>
          <t>Ciudad</t>
        </is>
      </c>
    </row>
    <row r="2">
      <c r="A2" t="inlineStr">
        <is>
          <t>EMP-0001</t>
        </is>
      </c>
      <c r="B2" t="inlineStr">
        <is>
          <t>Irene</t>
        </is>
      </c>
      <c r="C2" t="inlineStr">
        <is>
          <t>Pérez</t>
        </is>
      </c>
      <c r="D2" t="inlineStr">
        <is>
          <t>Redacción</t>
        </is>
      </c>
      <c r="E2" t="inlineStr">
        <is>
          <t>Redactor</t>
        </is>
      </c>
      <c r="F2" t="inlineStr">
        <is>
          <t>Mantenimiento web</t>
        </is>
      </c>
      <c r="G2" t="inlineStr">
        <is>
          <t>Temporal</t>
        </is>
      </c>
      <c r="H2" s="2" t="n">
        <v>45334</v>
      </c>
      <c r="I2" s="2" t="n"/>
      <c r="J2" t="inlineStr">
        <is>
          <t>Activo</t>
        </is>
      </c>
      <c r="K2" s="3" t="n">
        <v>1</v>
      </c>
      <c r="L2" s="4" t="n">
        <v>23041</v>
      </c>
      <c r="M2" s="3" t="n">
        <v>0</v>
      </c>
      <c r="N2" s="3" t="n">
        <v>0.286</v>
      </c>
      <c r="O2" s="4">
        <f>ROUND(L2*K2*(1+M2+N2),2)</f>
        <v/>
      </c>
      <c r="P2" t="inlineStr">
        <is>
          <t>Silvia Navarro</t>
        </is>
      </c>
      <c r="Q2" t="inlineStr">
        <is>
          <t>México</t>
        </is>
      </c>
      <c r="R2" t="inlineStr">
        <is>
          <t>Ciudad de México</t>
        </is>
      </c>
    </row>
    <row r="3">
      <c r="A3" t="inlineStr">
        <is>
          <t>EMP-0002</t>
        </is>
      </c>
      <c r="B3" t="inlineStr">
        <is>
          <t>Irene</t>
        </is>
      </c>
      <c r="C3" t="inlineStr">
        <is>
          <t>Torres</t>
        </is>
      </c>
      <c r="D3" t="inlineStr">
        <is>
          <t>Operaciones</t>
        </is>
      </c>
      <c r="E3" t="inlineStr">
        <is>
          <t>Coordinador de operaciones</t>
        </is>
      </c>
      <c r="F3" t="inlineStr">
        <is>
          <t>Anuncios TV</t>
        </is>
      </c>
      <c r="G3" t="inlineStr">
        <is>
          <t>Indefinido</t>
        </is>
      </c>
      <c r="H3" s="2" t="n">
        <v>43127</v>
      </c>
      <c r="I3" s="2" t="n"/>
      <c r="J3" t="inlineStr">
        <is>
          <t>Activo</t>
        </is>
      </c>
      <c r="K3" s="3" t="n">
        <v>0.75</v>
      </c>
      <c r="L3" s="4" t="n">
        <v>44876</v>
      </c>
      <c r="M3" s="3" t="n">
        <v>0.05</v>
      </c>
      <c r="N3" s="3" t="n">
        <v>0.3</v>
      </c>
      <c r="O3" s="4">
        <f>ROUND(L3*K3*(1+M3+N3),2)</f>
        <v/>
      </c>
      <c r="P3" t="inlineStr">
        <is>
          <t>Luis Gómez</t>
        </is>
      </c>
      <c r="Q3" t="inlineStr">
        <is>
          <t>España</t>
        </is>
      </c>
      <c r="R3" t="inlineStr">
        <is>
          <t>Sevilla</t>
        </is>
      </c>
    </row>
    <row r="4">
      <c r="A4" t="inlineStr">
        <is>
          <t>EMP-0003</t>
        </is>
      </c>
      <c r="B4" t="inlineStr">
        <is>
          <t>Teresa</t>
        </is>
      </c>
      <c r="C4" t="inlineStr">
        <is>
          <t>Marín</t>
        </is>
      </c>
      <c r="D4" t="inlineStr">
        <is>
          <t>Marketing</t>
        </is>
      </c>
      <c r="E4" t="inlineStr">
        <is>
          <t>Media planner</t>
        </is>
      </c>
      <c r="F4" t="inlineStr">
        <is>
          <t>Traducciones</t>
        </is>
      </c>
      <c r="G4" t="inlineStr">
        <is>
          <t>Indefinido</t>
        </is>
      </c>
      <c r="H4" s="2" t="n">
        <v>44184</v>
      </c>
      <c r="I4" s="2" t="n"/>
      <c r="J4" t="inlineStr">
        <is>
          <t>Activo</t>
        </is>
      </c>
      <c r="K4" s="3" t="n">
        <v>1</v>
      </c>
      <c r="L4" s="4" t="n">
        <v>44593</v>
      </c>
      <c r="M4" s="3" t="n">
        <v>0.05</v>
      </c>
      <c r="N4" s="3" t="n">
        <v>0.285</v>
      </c>
      <c r="O4" s="4">
        <f>ROUND(L4*K4*(1+M4+N4),2)</f>
        <v/>
      </c>
      <c r="P4" t="inlineStr">
        <is>
          <t>Jorge Molina</t>
        </is>
      </c>
      <c r="Q4" t="inlineStr">
        <is>
          <t>España</t>
        </is>
      </c>
      <c r="R4" t="inlineStr">
        <is>
          <t>Madrid</t>
        </is>
      </c>
    </row>
    <row r="5">
      <c r="A5" t="inlineStr">
        <is>
          <t>EMP-0004</t>
        </is>
      </c>
      <c r="B5" t="inlineStr">
        <is>
          <t>Irene</t>
        </is>
      </c>
      <c r="C5" t="inlineStr">
        <is>
          <t>Molina</t>
        </is>
      </c>
      <c r="D5" t="inlineStr">
        <is>
          <t>Marketing</t>
        </is>
      </c>
      <c r="E5" t="inlineStr">
        <is>
          <t>Media planner</t>
        </is>
      </c>
      <c r="F5" t="inlineStr">
        <is>
          <t>Mantenimiento intranets</t>
        </is>
      </c>
      <c r="G5" t="inlineStr">
        <is>
          <t>Indefinido</t>
        </is>
      </c>
      <c r="H5" s="2" t="n">
        <v>43427</v>
      </c>
      <c r="I5" s="2" t="n"/>
      <c r="J5" t="inlineStr">
        <is>
          <t>Activo</t>
        </is>
      </c>
      <c r="K5" s="3" t="n">
        <v>0.5</v>
      </c>
      <c r="L5" s="4" t="n">
        <v>40732</v>
      </c>
      <c r="M5" s="3" t="n">
        <v>0.05</v>
      </c>
      <c r="N5" s="3" t="n">
        <v>0.318</v>
      </c>
      <c r="O5" s="4">
        <f>ROUND(L5*K5*(1+M5+N5),2)</f>
        <v/>
      </c>
      <c r="P5" t="inlineStr">
        <is>
          <t>Luis Gómez</t>
        </is>
      </c>
      <c r="Q5" t="inlineStr">
        <is>
          <t>México</t>
        </is>
      </c>
      <c r="R5" t="inlineStr">
        <is>
          <t>Ciudad de México</t>
        </is>
      </c>
    </row>
    <row r="6">
      <c r="A6" t="inlineStr">
        <is>
          <t>EMP-0005</t>
        </is>
      </c>
      <c r="B6" t="inlineStr">
        <is>
          <t>Sofía</t>
        </is>
      </c>
      <c r="C6" t="inlineStr">
        <is>
          <t>Serrano</t>
        </is>
      </c>
      <c r="D6" t="inlineStr">
        <is>
          <t>Marketing</t>
        </is>
      </c>
      <c r="E6" t="inlineStr">
        <is>
          <t>Campaign manager</t>
        </is>
      </c>
      <c r="F6" t="inlineStr">
        <is>
          <t>Anuncios RRHH</t>
        </is>
      </c>
      <c r="G6" t="inlineStr">
        <is>
          <t>Indefinido</t>
        </is>
      </c>
      <c r="H6" s="2" t="n">
        <v>45288</v>
      </c>
      <c r="I6" s="2" t="n"/>
      <c r="J6" t="inlineStr">
        <is>
          <t>Activo</t>
        </is>
      </c>
      <c r="K6" s="3" t="n">
        <v>0.75</v>
      </c>
      <c r="L6" s="4" t="n">
        <v>44255</v>
      </c>
      <c r="M6" s="3" t="n">
        <v>0.03</v>
      </c>
      <c r="N6" s="3" t="n">
        <v>0.339</v>
      </c>
      <c r="O6" s="4">
        <f>ROUND(L6*K6*(1+M6+N6),2)</f>
        <v/>
      </c>
      <c r="P6" t="inlineStr">
        <is>
          <t>Jorge Molina</t>
        </is>
      </c>
      <c r="Q6" t="inlineStr">
        <is>
          <t>España</t>
        </is>
      </c>
      <c r="R6" t="inlineStr">
        <is>
          <t>Valencia</t>
        </is>
      </c>
    </row>
    <row r="7">
      <c r="A7" t="inlineStr">
        <is>
          <t>EMP-0006</t>
        </is>
      </c>
      <c r="B7" t="inlineStr">
        <is>
          <t>Irene</t>
        </is>
      </c>
      <c r="C7" t="inlineStr">
        <is>
          <t>Morales</t>
        </is>
      </c>
      <c r="D7" t="inlineStr">
        <is>
          <t>Atención al cliente</t>
        </is>
      </c>
      <c r="E7" t="inlineStr">
        <is>
          <t>Soporte cliente</t>
        </is>
      </c>
      <c r="F7" t="inlineStr">
        <is>
          <t>Mantenimiento intranets</t>
        </is>
      </c>
      <c r="G7" t="inlineStr">
        <is>
          <t>Indefinido</t>
        </is>
      </c>
      <c r="H7" s="2" t="n">
        <v>44393</v>
      </c>
      <c r="I7" s="2" t="n"/>
      <c r="J7" t="inlineStr">
        <is>
          <t>Activo</t>
        </is>
      </c>
      <c r="K7" s="3" t="n">
        <v>0.5</v>
      </c>
      <c r="L7" s="4" t="n">
        <v>28913</v>
      </c>
      <c r="M7" s="3" t="n">
        <v>0.08</v>
      </c>
      <c r="N7" s="3" t="n">
        <v>0.333</v>
      </c>
      <c r="O7" s="4">
        <f>ROUND(L7*K7*(1+M7+N7),2)</f>
        <v/>
      </c>
      <c r="P7" t="inlineStr">
        <is>
          <t>Luis Gómez</t>
        </is>
      </c>
      <c r="Q7" t="inlineStr">
        <is>
          <t>México</t>
        </is>
      </c>
      <c r="R7" t="inlineStr">
        <is>
          <t>Ciudad de México</t>
        </is>
      </c>
    </row>
    <row r="8">
      <c r="A8" t="inlineStr">
        <is>
          <t>EMP-0007</t>
        </is>
      </c>
      <c r="B8" t="inlineStr">
        <is>
          <t>Diego</t>
        </is>
      </c>
      <c r="C8" t="inlineStr">
        <is>
          <t>Díaz</t>
        </is>
      </c>
      <c r="D8" t="inlineStr">
        <is>
          <t>Finanzas</t>
        </is>
      </c>
      <c r="E8" t="inlineStr">
        <is>
          <t>Analista financiero</t>
        </is>
      </c>
      <c r="F8" t="inlineStr">
        <is>
          <t>Anuncios prensa</t>
        </is>
      </c>
      <c r="G8" t="inlineStr">
        <is>
          <t>Indefinido</t>
        </is>
      </c>
      <c r="H8" s="2" t="n">
        <v>45400</v>
      </c>
      <c r="I8" s="2" t="n"/>
      <c r="J8" t="inlineStr">
        <is>
          <t>Activo</t>
        </is>
      </c>
      <c r="K8" s="3" t="n">
        <v>1</v>
      </c>
      <c r="L8" s="4" t="n">
        <v>36038</v>
      </c>
      <c r="M8" s="3" t="n">
        <v>0.08</v>
      </c>
      <c r="N8" s="3" t="n">
        <v>0.304</v>
      </c>
      <c r="O8" s="4">
        <f>ROUND(L8*K8*(1+M8+N8),2)</f>
        <v/>
      </c>
      <c r="P8" t="inlineStr">
        <is>
          <t>Luis Gómez</t>
        </is>
      </c>
      <c r="Q8" t="inlineStr">
        <is>
          <t>Colombia</t>
        </is>
      </c>
      <c r="R8" t="inlineStr">
        <is>
          <t>Medellín</t>
        </is>
      </c>
    </row>
    <row r="9">
      <c r="A9" t="inlineStr">
        <is>
          <t>EMP-0008</t>
        </is>
      </c>
      <c r="B9" t="inlineStr">
        <is>
          <t>Álvaro</t>
        </is>
      </c>
      <c r="C9" t="inlineStr">
        <is>
          <t>Pérez</t>
        </is>
      </c>
      <c r="D9" t="inlineStr">
        <is>
          <t>Atención al cliente</t>
        </is>
      </c>
      <c r="E9" t="inlineStr">
        <is>
          <t>Account support</t>
        </is>
      </c>
      <c r="F9" t="inlineStr">
        <is>
          <t>Anuncios internet</t>
        </is>
      </c>
      <c r="G9" t="inlineStr">
        <is>
          <t>Indefinido</t>
        </is>
      </c>
      <c r="H9" s="2" t="n">
        <v>44830</v>
      </c>
      <c r="I9" s="2" t="n"/>
      <c r="J9" t="inlineStr">
        <is>
          <t>Activo</t>
        </is>
      </c>
      <c r="K9" s="3" t="n">
        <v>1</v>
      </c>
      <c r="L9" s="4" t="n">
        <v>34504</v>
      </c>
      <c r="M9" s="3" t="n">
        <v>0.08</v>
      </c>
      <c r="N9" s="3" t="n">
        <v>0.34</v>
      </c>
      <c r="O9" s="4">
        <f>ROUND(L9*K9*(1+M9+N9),2)</f>
        <v/>
      </c>
      <c r="P9" t="inlineStr">
        <is>
          <t>Patricia Romero</t>
        </is>
      </c>
      <c r="Q9" t="inlineStr">
        <is>
          <t>España</t>
        </is>
      </c>
      <c r="R9" t="inlineStr">
        <is>
          <t>Madrid</t>
        </is>
      </c>
    </row>
    <row r="10">
      <c r="A10" t="inlineStr">
        <is>
          <t>EMP-0009</t>
        </is>
      </c>
      <c r="B10" t="inlineStr">
        <is>
          <t>Eva</t>
        </is>
      </c>
      <c r="C10" t="inlineStr">
        <is>
          <t>Molina</t>
        </is>
      </c>
      <c r="D10" t="inlineStr">
        <is>
          <t>Atención al cliente</t>
        </is>
      </c>
      <c r="E10" t="inlineStr">
        <is>
          <t>Account support</t>
        </is>
      </c>
      <c r="F10" t="inlineStr">
        <is>
          <t>Mantenimiento web</t>
        </is>
      </c>
      <c r="G10" t="inlineStr">
        <is>
          <t>Indefinido</t>
        </is>
      </c>
      <c r="H10" s="2" t="n">
        <v>44494</v>
      </c>
      <c r="I10" s="2" t="n"/>
      <c r="J10" t="inlineStr">
        <is>
          <t>Activo</t>
        </is>
      </c>
      <c r="K10" s="3" t="n">
        <v>1</v>
      </c>
      <c r="L10" s="4" t="n">
        <v>27182</v>
      </c>
      <c r="M10" s="3" t="n">
        <v>0.05</v>
      </c>
      <c r="N10" s="3" t="n">
        <v>0.28</v>
      </c>
      <c r="O10" s="4">
        <f>ROUND(L10*K10*(1+M10+N10),2)</f>
        <v/>
      </c>
      <c r="P10" t="inlineStr">
        <is>
          <t>Jorge Molina</t>
        </is>
      </c>
      <c r="Q10" t="inlineStr">
        <is>
          <t>México</t>
        </is>
      </c>
      <c r="R10" t="inlineStr">
        <is>
          <t>Ciudad de México</t>
        </is>
      </c>
    </row>
    <row r="11">
      <c r="A11" t="inlineStr">
        <is>
          <t>EMP-0010</t>
        </is>
      </c>
      <c r="B11" t="inlineStr">
        <is>
          <t>Hugo</t>
        </is>
      </c>
      <c r="C11" t="inlineStr">
        <is>
          <t>Morales</t>
        </is>
      </c>
      <c r="D11" t="inlineStr">
        <is>
          <t>Comercial</t>
        </is>
      </c>
      <c r="E11" t="inlineStr">
        <is>
          <t>Business developer</t>
        </is>
      </c>
      <c r="F11" t="inlineStr">
        <is>
          <t>Anuncios TV</t>
        </is>
      </c>
      <c r="G11" t="inlineStr">
        <is>
          <t>Indefinido</t>
        </is>
      </c>
      <c r="H11" s="2" t="n">
        <v>45595</v>
      </c>
      <c r="I11" s="2" t="n"/>
      <c r="J11" t="inlineStr">
        <is>
          <t>Activo</t>
        </is>
      </c>
      <c r="K11" s="3" t="n">
        <v>1</v>
      </c>
      <c r="L11" s="4" t="n">
        <v>52308</v>
      </c>
      <c r="M11" s="3" t="n">
        <v>0.08</v>
      </c>
      <c r="N11" s="3" t="n">
        <v>0.337</v>
      </c>
      <c r="O11" s="4">
        <f>ROUND(L11*K11*(1+M11+N11),2)</f>
        <v/>
      </c>
      <c r="P11" t="inlineStr">
        <is>
          <t>Ana Torres</t>
        </is>
      </c>
      <c r="Q11" t="inlineStr">
        <is>
          <t>México</t>
        </is>
      </c>
      <c r="R11" t="inlineStr">
        <is>
          <t>Ciudad de México</t>
        </is>
      </c>
    </row>
    <row r="12">
      <c r="A12" t="inlineStr">
        <is>
          <t>EMP-0011</t>
        </is>
      </c>
      <c r="B12" t="inlineStr">
        <is>
          <t>Hugo</t>
        </is>
      </c>
      <c r="C12" t="inlineStr">
        <is>
          <t>Ruiz</t>
        </is>
      </c>
      <c r="D12" t="inlineStr">
        <is>
          <t>Marketing</t>
        </is>
      </c>
      <c r="E12" t="inlineStr">
        <is>
          <t>Campaign manager</t>
        </is>
      </c>
      <c r="F12" t="inlineStr">
        <is>
          <t>Anuncios internet</t>
        </is>
      </c>
      <c r="G12" t="inlineStr">
        <is>
          <t>Indefinido</t>
        </is>
      </c>
      <c r="H12" s="2" t="n">
        <v>45424</v>
      </c>
      <c r="I12" s="2" t="n"/>
      <c r="J12" t="inlineStr">
        <is>
          <t>Activo</t>
        </is>
      </c>
      <c r="K12" s="3" t="n">
        <v>0.5</v>
      </c>
      <c r="L12" s="4" t="n">
        <v>53964</v>
      </c>
      <c r="M12" s="3" t="n">
        <v>0.12</v>
      </c>
      <c r="N12" s="3" t="n">
        <v>0.284</v>
      </c>
      <c r="O12" s="4">
        <f>ROUND(L12*K12*(1+M12+N12),2)</f>
        <v/>
      </c>
      <c r="P12" t="inlineStr">
        <is>
          <t>Luis Gómez</t>
        </is>
      </c>
      <c r="Q12" t="inlineStr">
        <is>
          <t>España</t>
        </is>
      </c>
      <c r="R12" t="inlineStr">
        <is>
          <t>Valencia</t>
        </is>
      </c>
    </row>
    <row r="13">
      <c r="A13" t="inlineStr">
        <is>
          <t>EMP-0012</t>
        </is>
      </c>
      <c r="B13" t="inlineStr">
        <is>
          <t>Natalia</t>
        </is>
      </c>
      <c r="C13" t="inlineStr">
        <is>
          <t>Vázquez</t>
        </is>
      </c>
      <c r="D13" t="inlineStr">
        <is>
          <t>Traducción</t>
        </is>
      </c>
      <c r="E13" t="inlineStr">
        <is>
          <t>Localization manager</t>
        </is>
      </c>
      <c r="F13" t="inlineStr">
        <is>
          <t>Anuncios internet</t>
        </is>
      </c>
      <c r="G13" t="inlineStr">
        <is>
          <t>Temporal</t>
        </is>
      </c>
      <c r="H13" s="2" t="n">
        <v>44834</v>
      </c>
      <c r="I13" s="2" t="n"/>
      <c r="J13" t="inlineStr">
        <is>
          <t>Activo</t>
        </is>
      </c>
      <c r="K13" s="3" t="n">
        <v>1</v>
      </c>
      <c r="L13" s="4" t="n">
        <v>46748</v>
      </c>
      <c r="M13" s="3" t="n">
        <v>0.1</v>
      </c>
      <c r="N13" s="3" t="n">
        <v>0.321</v>
      </c>
      <c r="O13" s="4">
        <f>ROUND(L13*K13*(1+M13+N13),2)</f>
        <v/>
      </c>
      <c r="P13" t="inlineStr">
        <is>
          <t>Patricia Romero</t>
        </is>
      </c>
      <c r="Q13" t="inlineStr">
        <is>
          <t>Chile</t>
        </is>
      </c>
      <c r="R13" t="inlineStr">
        <is>
          <t>Santiago</t>
        </is>
      </c>
    </row>
    <row r="14">
      <c r="A14" t="inlineStr">
        <is>
          <t>EMP-0013</t>
        </is>
      </c>
      <c r="B14" t="inlineStr">
        <is>
          <t>Álvaro</t>
        </is>
      </c>
      <c r="C14" t="inlineStr">
        <is>
          <t>Ruiz</t>
        </is>
      </c>
      <c r="D14" t="inlineStr">
        <is>
          <t>RRHH</t>
        </is>
      </c>
      <c r="E14" t="inlineStr">
        <is>
          <t>Employer branding specialist</t>
        </is>
      </c>
      <c r="F14" t="inlineStr">
        <is>
          <t>Anuncios RRHH</t>
        </is>
      </c>
      <c r="G14" t="inlineStr">
        <is>
          <t>Indefinido</t>
        </is>
      </c>
      <c r="H14" s="2" t="n">
        <v>44485</v>
      </c>
      <c r="I14" s="2" t="n">
        <v>45799</v>
      </c>
      <c r="J14" t="inlineStr">
        <is>
          <t>Baja</t>
        </is>
      </c>
      <c r="K14" s="3" t="n">
        <v>0.75</v>
      </c>
      <c r="L14" s="4" t="n">
        <v>41282</v>
      </c>
      <c r="M14" s="3" t="n">
        <v>0</v>
      </c>
      <c r="N14" s="3" t="n">
        <v>0.28</v>
      </c>
      <c r="O14" s="4">
        <f>ROUND(L14*K14*(1+M14+N14),2)</f>
        <v/>
      </c>
      <c r="P14" t="inlineStr">
        <is>
          <t>Jorge Molina</t>
        </is>
      </c>
      <c r="Q14" t="inlineStr">
        <is>
          <t>España</t>
        </is>
      </c>
      <c r="R14" t="inlineStr">
        <is>
          <t>Sevilla</t>
        </is>
      </c>
    </row>
    <row r="15">
      <c r="A15" t="inlineStr">
        <is>
          <t>EMP-0014</t>
        </is>
      </c>
      <c r="B15" t="inlineStr">
        <is>
          <t>Marcos</t>
        </is>
      </c>
      <c r="C15" t="inlineStr">
        <is>
          <t>López</t>
        </is>
      </c>
      <c r="D15" t="inlineStr">
        <is>
          <t>Operaciones</t>
        </is>
      </c>
      <c r="E15" t="inlineStr">
        <is>
          <t>Project manager</t>
        </is>
      </c>
      <c r="F15" t="inlineStr">
        <is>
          <t>Mantenimiento intranets</t>
        </is>
      </c>
      <c r="G15" t="inlineStr">
        <is>
          <t>Indefinido</t>
        </is>
      </c>
      <c r="H15" s="2" t="n">
        <v>44241</v>
      </c>
      <c r="I15" s="2" t="n"/>
      <c r="J15" t="inlineStr">
        <is>
          <t>Activo</t>
        </is>
      </c>
      <c r="K15" s="3" t="n">
        <v>0.75</v>
      </c>
      <c r="L15" s="4" t="n">
        <v>39669</v>
      </c>
      <c r="M15" s="3" t="n">
        <v>0</v>
      </c>
      <c r="N15" s="3" t="n">
        <v>0.323</v>
      </c>
      <c r="O15" s="4">
        <f>ROUND(L15*K15*(1+M15+N15),2)</f>
        <v/>
      </c>
      <c r="P15" t="inlineStr">
        <is>
          <t>Silvia Navarro</t>
        </is>
      </c>
      <c r="Q15" t="inlineStr">
        <is>
          <t>España</t>
        </is>
      </c>
      <c r="R15" t="inlineStr">
        <is>
          <t>Madrid</t>
        </is>
      </c>
    </row>
    <row r="16">
      <c r="A16" t="inlineStr">
        <is>
          <t>EMP-0015</t>
        </is>
      </c>
      <c r="B16" t="inlineStr">
        <is>
          <t>Laura</t>
        </is>
      </c>
      <c r="C16" t="inlineStr">
        <is>
          <t>Sánchez</t>
        </is>
      </c>
      <c r="D16" t="inlineStr">
        <is>
          <t>Finanzas</t>
        </is>
      </c>
      <c r="E16" t="inlineStr">
        <is>
          <t>Técnico de facturación</t>
        </is>
      </c>
      <c r="F16" t="inlineStr">
        <is>
          <t>Mantenimiento intranets</t>
        </is>
      </c>
      <c r="G16" t="inlineStr">
        <is>
          <t>Indefinido</t>
        </is>
      </c>
      <c r="H16" s="2" t="n">
        <v>44866</v>
      </c>
      <c r="I16" s="2" t="n"/>
      <c r="J16" t="inlineStr">
        <is>
          <t>Activo</t>
        </is>
      </c>
      <c r="K16" s="3" t="n">
        <v>1</v>
      </c>
      <c r="L16" s="4" t="n">
        <v>37303</v>
      </c>
      <c r="M16" s="3" t="n">
        <v>0.12</v>
      </c>
      <c r="N16" s="3" t="n">
        <v>0.324</v>
      </c>
      <c r="O16" s="4">
        <f>ROUND(L16*K16*(1+M16+N16),2)</f>
        <v/>
      </c>
      <c r="P16" t="inlineStr">
        <is>
          <t>Jorge Molina</t>
        </is>
      </c>
      <c r="Q16" t="inlineStr">
        <is>
          <t>México</t>
        </is>
      </c>
      <c r="R16" t="inlineStr">
        <is>
          <t>Guadalajara</t>
        </is>
      </c>
    </row>
    <row r="17">
      <c r="A17" t="inlineStr">
        <is>
          <t>EMP-0016</t>
        </is>
      </c>
      <c r="B17" t="inlineStr">
        <is>
          <t>Paula</t>
        </is>
      </c>
      <c r="C17" t="inlineStr">
        <is>
          <t>Ruiz</t>
        </is>
      </c>
      <c r="D17" t="inlineStr">
        <is>
          <t>Redacción</t>
        </is>
      </c>
      <c r="E17" t="inlineStr">
        <is>
          <t>Redactor</t>
        </is>
      </c>
      <c r="F17" t="inlineStr">
        <is>
          <t>Mantenimiento web</t>
        </is>
      </c>
      <c r="G17" t="inlineStr">
        <is>
          <t>Indefinido</t>
        </is>
      </c>
      <c r="H17" s="2" t="n">
        <v>45297</v>
      </c>
      <c r="I17" s="2" t="n"/>
      <c r="J17" t="inlineStr">
        <is>
          <t>Activo</t>
        </is>
      </c>
      <c r="K17" s="3" t="n">
        <v>1</v>
      </c>
      <c r="L17" s="4" t="n">
        <v>28012</v>
      </c>
      <c r="M17" s="3" t="n">
        <v>0.03</v>
      </c>
      <c r="N17" s="3" t="n">
        <v>0.308</v>
      </c>
      <c r="O17" s="4">
        <f>ROUND(L17*K17*(1+M17+N17),2)</f>
        <v/>
      </c>
      <c r="P17" t="inlineStr">
        <is>
          <t>Fernando Ruiz</t>
        </is>
      </c>
      <c r="Q17" t="inlineStr">
        <is>
          <t>España</t>
        </is>
      </c>
      <c r="R17" t="inlineStr">
        <is>
          <t>Valencia</t>
        </is>
      </c>
    </row>
    <row r="18">
      <c r="A18" t="inlineStr">
        <is>
          <t>EMP-0017</t>
        </is>
      </c>
      <c r="B18" t="inlineStr">
        <is>
          <t>Daniel</t>
        </is>
      </c>
      <c r="C18" t="inlineStr">
        <is>
          <t>Iglesias</t>
        </is>
      </c>
      <c r="D18" t="inlineStr">
        <is>
          <t>Atención al cliente</t>
        </is>
      </c>
      <c r="E18" t="inlineStr">
        <is>
          <t>Customer success</t>
        </is>
      </c>
      <c r="F18" t="inlineStr">
        <is>
          <t>Traducciones</t>
        </is>
      </c>
      <c r="G18" t="inlineStr">
        <is>
          <t>Temporal</t>
        </is>
      </c>
      <c r="H18" s="2" t="n">
        <v>44069</v>
      </c>
      <c r="I18" s="2" t="n"/>
      <c r="J18" t="inlineStr">
        <is>
          <t>Activo</t>
        </is>
      </c>
      <c r="K18" s="3" t="n">
        <v>1</v>
      </c>
      <c r="L18" s="4" t="n">
        <v>37773</v>
      </c>
      <c r="M18" s="3" t="n">
        <v>0</v>
      </c>
      <c r="N18" s="3" t="n">
        <v>0.332</v>
      </c>
      <c r="O18" s="4">
        <f>ROUND(L18*K18*(1+M18+N18),2)</f>
        <v/>
      </c>
      <c r="P18" t="inlineStr">
        <is>
          <t>Luis Gómez</t>
        </is>
      </c>
      <c r="Q18" t="inlineStr">
        <is>
          <t>España</t>
        </is>
      </c>
      <c r="R18" t="inlineStr">
        <is>
          <t>Madrid</t>
        </is>
      </c>
    </row>
    <row r="19">
      <c r="A19" t="inlineStr">
        <is>
          <t>EMP-0018</t>
        </is>
      </c>
      <c r="B19" t="inlineStr">
        <is>
          <t>Óscar</t>
        </is>
      </c>
      <c r="C19" t="inlineStr">
        <is>
          <t>Moreno</t>
        </is>
      </c>
      <c r="D19" t="inlineStr">
        <is>
          <t>RRHH</t>
        </is>
      </c>
      <c r="E19" t="inlineStr">
        <is>
          <t>Especialista RRHH</t>
        </is>
      </c>
      <c r="F19" t="inlineStr">
        <is>
          <t>Mantenimiento web</t>
        </is>
      </c>
      <c r="G19" t="inlineStr">
        <is>
          <t>Indefinido</t>
        </is>
      </c>
      <c r="H19" s="2" t="n">
        <v>45377</v>
      </c>
      <c r="I19" s="2" t="n"/>
      <c r="J19" t="inlineStr">
        <is>
          <t>Activo</t>
        </is>
      </c>
      <c r="K19" s="3" t="n">
        <v>1</v>
      </c>
      <c r="L19" s="4" t="n">
        <v>27072</v>
      </c>
      <c r="M19" s="3" t="n">
        <v>0</v>
      </c>
      <c r="N19" s="3" t="n">
        <v>0.298</v>
      </c>
      <c r="O19" s="4">
        <f>ROUND(L19*K19*(1+M19+N19),2)</f>
        <v/>
      </c>
      <c r="P19" t="inlineStr">
        <is>
          <t>Silvia Navarro</t>
        </is>
      </c>
      <c r="Q19" t="inlineStr">
        <is>
          <t>Chile</t>
        </is>
      </c>
      <c r="R19" t="inlineStr">
        <is>
          <t>Santiago</t>
        </is>
      </c>
    </row>
    <row r="20">
      <c r="A20" t="inlineStr">
        <is>
          <t>EMP-0019</t>
        </is>
      </c>
      <c r="B20" t="inlineStr">
        <is>
          <t>Javier</t>
        </is>
      </c>
      <c r="C20" t="inlineStr">
        <is>
          <t>Gil</t>
        </is>
      </c>
      <c r="D20" t="inlineStr">
        <is>
          <t>Atención al cliente</t>
        </is>
      </c>
      <c r="E20" t="inlineStr">
        <is>
          <t>Account support</t>
        </is>
      </c>
      <c r="F20" t="inlineStr">
        <is>
          <t>Mantenimiento web</t>
        </is>
      </c>
      <c r="G20" t="inlineStr">
        <is>
          <t>Indefinido</t>
        </is>
      </c>
      <c r="H20" s="2" t="n">
        <v>45276</v>
      </c>
      <c r="I20" s="2" t="n"/>
      <c r="J20" t="inlineStr">
        <is>
          <t>Activo</t>
        </is>
      </c>
      <c r="K20" s="3" t="n">
        <v>1</v>
      </c>
      <c r="L20" s="4" t="n">
        <v>24625</v>
      </c>
      <c r="M20" s="3" t="n">
        <v>0.12</v>
      </c>
      <c r="N20" s="3" t="n">
        <v>0.291</v>
      </c>
      <c r="O20" s="4">
        <f>ROUND(L20*K20*(1+M20+N20),2)</f>
        <v/>
      </c>
      <c r="P20" t="inlineStr">
        <is>
          <t>Ana Torres</t>
        </is>
      </c>
      <c r="Q20" t="inlineStr">
        <is>
          <t>México</t>
        </is>
      </c>
      <c r="R20" t="inlineStr">
        <is>
          <t>Ciudad de México</t>
        </is>
      </c>
    </row>
    <row r="21">
      <c r="A21" t="inlineStr">
        <is>
          <t>EMP-0020</t>
        </is>
      </c>
      <c r="B21" t="inlineStr">
        <is>
          <t>Joel</t>
        </is>
      </c>
      <c r="C21" t="inlineStr">
        <is>
          <t>Serrano</t>
        </is>
      </c>
      <c r="D21" t="inlineStr">
        <is>
          <t>Tecnología</t>
        </is>
      </c>
      <c r="E21" t="inlineStr">
        <is>
          <t>Desarrollador web</t>
        </is>
      </c>
      <c r="F21" t="inlineStr">
        <is>
          <t>Anuncios prensa</t>
        </is>
      </c>
      <c r="G21" t="inlineStr">
        <is>
          <t>Indefinido</t>
        </is>
      </c>
      <c r="H21" s="2" t="n">
        <v>43436</v>
      </c>
      <c r="I21" s="2" t="n"/>
      <c r="J21" t="inlineStr">
        <is>
          <t>Activo</t>
        </is>
      </c>
      <c r="K21" s="3" t="n">
        <v>1</v>
      </c>
      <c r="L21" s="4" t="n">
        <v>48803</v>
      </c>
      <c r="M21" s="3" t="n">
        <v>0.03</v>
      </c>
      <c r="N21" s="3" t="n">
        <v>0.336</v>
      </c>
      <c r="O21" s="4">
        <f>ROUND(L21*K21*(1+M21+N21),2)</f>
        <v/>
      </c>
      <c r="P21" t="inlineStr">
        <is>
          <t>Jorge Molina</t>
        </is>
      </c>
      <c r="Q21" t="inlineStr">
        <is>
          <t>España</t>
        </is>
      </c>
      <c r="R21" t="inlineStr">
        <is>
          <t>Barcelona</t>
        </is>
      </c>
    </row>
    <row r="22">
      <c r="A22" t="inlineStr">
        <is>
          <t>EMP-0021</t>
        </is>
      </c>
      <c r="B22" t="inlineStr">
        <is>
          <t>Hugo</t>
        </is>
      </c>
      <c r="C22" t="inlineStr">
        <is>
          <t>Torres</t>
        </is>
      </c>
      <c r="D22" t="inlineStr">
        <is>
          <t>Marketing</t>
        </is>
      </c>
      <c r="E22" t="inlineStr">
        <is>
          <t>Especialista SEM</t>
        </is>
      </c>
      <c r="F22" t="inlineStr">
        <is>
          <t>Mantenimiento intranets</t>
        </is>
      </c>
      <c r="G22" t="inlineStr">
        <is>
          <t>Indefinido</t>
        </is>
      </c>
      <c r="H22" s="2" t="n">
        <v>43398</v>
      </c>
      <c r="I22" s="2" t="n">
        <v>44731</v>
      </c>
      <c r="J22" t="inlineStr">
        <is>
          <t>Baja</t>
        </is>
      </c>
      <c r="K22" s="3" t="n">
        <v>0.5</v>
      </c>
      <c r="L22" s="4" t="n">
        <v>32804</v>
      </c>
      <c r="M22" s="3" t="n">
        <v>0</v>
      </c>
      <c r="N22" s="3" t="n">
        <v>0.31</v>
      </c>
      <c r="O22" s="4">
        <f>ROUND(L22*K22*(1+M22+N22),2)</f>
        <v/>
      </c>
      <c r="P22" t="inlineStr">
        <is>
          <t>Patricia Romero</t>
        </is>
      </c>
      <c r="Q22" t="inlineStr">
        <is>
          <t>España</t>
        </is>
      </c>
      <c r="R22" t="inlineStr">
        <is>
          <t>Barcelona</t>
        </is>
      </c>
    </row>
    <row r="23">
      <c r="A23" t="inlineStr">
        <is>
          <t>EMP-0022</t>
        </is>
      </c>
      <c r="B23" t="inlineStr">
        <is>
          <t>Sara</t>
        </is>
      </c>
      <c r="C23" t="inlineStr">
        <is>
          <t>Morales</t>
        </is>
      </c>
      <c r="D23" t="inlineStr">
        <is>
          <t>Redacción</t>
        </is>
      </c>
      <c r="E23" t="inlineStr">
        <is>
          <t>Editor</t>
        </is>
      </c>
      <c r="F23" t="inlineStr">
        <is>
          <t>Mantenimiento intranets</t>
        </is>
      </c>
      <c r="G23" t="inlineStr">
        <is>
          <t>Indefinido</t>
        </is>
      </c>
      <c r="H23" s="2" t="n">
        <v>44340</v>
      </c>
      <c r="I23" s="2" t="n"/>
      <c r="J23" t="inlineStr">
        <is>
          <t>Activo</t>
        </is>
      </c>
      <c r="K23" s="3" t="n">
        <v>1</v>
      </c>
      <c r="L23" s="4" t="n">
        <v>22256</v>
      </c>
      <c r="M23" s="3" t="n">
        <v>0.1</v>
      </c>
      <c r="N23" s="3" t="n">
        <v>0.329</v>
      </c>
      <c r="O23" s="4">
        <f>ROUND(L23*K23*(1+M23+N23),2)</f>
        <v/>
      </c>
      <c r="P23" t="inlineStr">
        <is>
          <t>Jorge Molina</t>
        </is>
      </c>
      <c r="Q23" t="inlineStr">
        <is>
          <t>España</t>
        </is>
      </c>
      <c r="R23" t="inlineStr">
        <is>
          <t>Barcelona</t>
        </is>
      </c>
    </row>
    <row r="24">
      <c r="A24" t="inlineStr">
        <is>
          <t>EMP-0023</t>
        </is>
      </c>
      <c r="B24" t="inlineStr">
        <is>
          <t>Gonzalo</t>
        </is>
      </c>
      <c r="C24" t="inlineStr">
        <is>
          <t>Pérez</t>
        </is>
      </c>
      <c r="D24" t="inlineStr">
        <is>
          <t>Redacción</t>
        </is>
      </c>
      <c r="E24" t="inlineStr">
        <is>
          <t>Editor</t>
        </is>
      </c>
      <c r="F24" t="inlineStr">
        <is>
          <t>Publicación de noticias</t>
        </is>
      </c>
      <c r="G24" t="inlineStr">
        <is>
          <t>Indefinido</t>
        </is>
      </c>
      <c r="H24" s="2" t="n">
        <v>45578</v>
      </c>
      <c r="I24" s="2" t="n"/>
      <c r="J24" t="inlineStr">
        <is>
          <t>Activo</t>
        </is>
      </c>
      <c r="K24" s="3" t="n">
        <v>1</v>
      </c>
      <c r="L24" s="4" t="n">
        <v>28671</v>
      </c>
      <c r="M24" s="3" t="n">
        <v>0.1</v>
      </c>
      <c r="N24" s="3" t="n">
        <v>0.318</v>
      </c>
      <c r="O24" s="4">
        <f>ROUND(L24*K24*(1+M24+N24),2)</f>
        <v/>
      </c>
      <c r="P24" t="inlineStr">
        <is>
          <t>Silvia Navarro</t>
        </is>
      </c>
      <c r="Q24" t="inlineStr">
        <is>
          <t>España</t>
        </is>
      </c>
      <c r="R24" t="inlineStr">
        <is>
          <t>Madrid</t>
        </is>
      </c>
    </row>
    <row r="25">
      <c r="A25" t="inlineStr">
        <is>
          <t>EMP-0024</t>
        </is>
      </c>
      <c r="B25" t="inlineStr">
        <is>
          <t>Daniel</t>
        </is>
      </c>
      <c r="C25" t="inlineStr">
        <is>
          <t>Ortega</t>
        </is>
      </c>
      <c r="D25" t="inlineStr">
        <is>
          <t>Finanzas</t>
        </is>
      </c>
      <c r="E25" t="inlineStr">
        <is>
          <t>Controller</t>
        </is>
      </c>
      <c r="F25" t="inlineStr">
        <is>
          <t>Generación de noticias</t>
        </is>
      </c>
      <c r="G25" t="inlineStr">
        <is>
          <t>Indefinido</t>
        </is>
      </c>
      <c r="H25" s="2" t="n">
        <v>44234</v>
      </c>
      <c r="I25" s="2" t="n">
        <v>45097</v>
      </c>
      <c r="J25" t="inlineStr">
        <is>
          <t>Baja</t>
        </is>
      </c>
      <c r="K25" s="3" t="n">
        <v>0.75</v>
      </c>
      <c r="L25" s="4" t="n">
        <v>42876</v>
      </c>
      <c r="M25" s="3" t="n">
        <v>0.03</v>
      </c>
      <c r="N25" s="3" t="n">
        <v>0.29</v>
      </c>
      <c r="O25" s="4">
        <f>ROUND(L25*K25*(1+M25+N25),2)</f>
        <v/>
      </c>
      <c r="P25" t="inlineStr">
        <is>
          <t>Silvia Navarro</t>
        </is>
      </c>
      <c r="Q25" t="inlineStr">
        <is>
          <t>Colombia</t>
        </is>
      </c>
      <c r="R25" t="inlineStr">
        <is>
          <t>Bogotá</t>
        </is>
      </c>
    </row>
    <row r="26">
      <c r="A26" t="inlineStr">
        <is>
          <t>EMP-0025</t>
        </is>
      </c>
      <c r="B26" t="inlineStr">
        <is>
          <t>Diego</t>
        </is>
      </c>
      <c r="C26" t="inlineStr">
        <is>
          <t>Ramos</t>
        </is>
      </c>
      <c r="D26" t="inlineStr">
        <is>
          <t>RRHH</t>
        </is>
      </c>
      <c r="E26" t="inlineStr">
        <is>
          <t>Recruitment marketer</t>
        </is>
      </c>
      <c r="F26" t="inlineStr">
        <is>
          <t>Anuncios TV</t>
        </is>
      </c>
      <c r="G26" t="inlineStr">
        <is>
          <t>Indefinido</t>
        </is>
      </c>
      <c r="H26" s="2" t="n">
        <v>44613</v>
      </c>
      <c r="I26" s="2" t="n"/>
      <c r="J26" t="inlineStr">
        <is>
          <t>Activo</t>
        </is>
      </c>
      <c r="K26" s="3" t="n">
        <v>0.75</v>
      </c>
      <c r="L26" s="4" t="n">
        <v>36083</v>
      </c>
      <c r="M26" s="3" t="n">
        <v>0</v>
      </c>
      <c r="N26" s="3" t="n">
        <v>0.283</v>
      </c>
      <c r="O26" s="4">
        <f>ROUND(L26*K26*(1+M26+N26),2)</f>
        <v/>
      </c>
      <c r="P26" t="inlineStr">
        <is>
          <t>Ana Torres</t>
        </is>
      </c>
      <c r="Q26" t="inlineStr">
        <is>
          <t>España</t>
        </is>
      </c>
      <c r="R26" t="inlineStr">
        <is>
          <t>Madrid</t>
        </is>
      </c>
    </row>
    <row r="27">
      <c r="A27" t="inlineStr">
        <is>
          <t>EMP-0026</t>
        </is>
      </c>
      <c r="B27" t="inlineStr">
        <is>
          <t>Teresa</t>
        </is>
      </c>
      <c r="C27" t="inlineStr">
        <is>
          <t>Molina</t>
        </is>
      </c>
      <c r="D27" t="inlineStr">
        <is>
          <t>Marketing</t>
        </is>
      </c>
      <c r="E27" t="inlineStr">
        <is>
          <t>Especialista SEM</t>
        </is>
      </c>
      <c r="F27" t="inlineStr">
        <is>
          <t>Mantenimiento intranets</t>
        </is>
      </c>
      <c r="G27" t="inlineStr">
        <is>
          <t>Indefinido</t>
        </is>
      </c>
      <c r="H27" s="2" t="n">
        <v>44765</v>
      </c>
      <c r="I27" s="2" t="n"/>
      <c r="J27" t="inlineStr">
        <is>
          <t>Activo</t>
        </is>
      </c>
      <c r="K27" s="3" t="n">
        <v>0.75</v>
      </c>
      <c r="L27" s="4" t="n">
        <v>40839</v>
      </c>
      <c r="M27" s="3" t="n">
        <v>0</v>
      </c>
      <c r="N27" s="3" t="n">
        <v>0.339</v>
      </c>
      <c r="O27" s="4">
        <f>ROUND(L27*K27*(1+M27+N27),2)</f>
        <v/>
      </c>
      <c r="P27" t="inlineStr">
        <is>
          <t>Fernando Ruiz</t>
        </is>
      </c>
      <c r="Q27" t="inlineStr">
        <is>
          <t>México</t>
        </is>
      </c>
      <c r="R27" t="inlineStr">
        <is>
          <t>Ciudad de México</t>
        </is>
      </c>
    </row>
    <row r="28">
      <c r="A28" t="inlineStr">
        <is>
          <t>EMP-0027</t>
        </is>
      </c>
      <c r="B28" t="inlineStr">
        <is>
          <t>Nuria</t>
        </is>
      </c>
      <c r="C28" t="inlineStr">
        <is>
          <t>Blanco</t>
        </is>
      </c>
      <c r="D28" t="inlineStr">
        <is>
          <t>Operaciones</t>
        </is>
      </c>
      <c r="E28" t="inlineStr">
        <is>
          <t>Especialista de cuentas</t>
        </is>
      </c>
      <c r="F28" t="inlineStr">
        <is>
          <t>Publicación de noticias</t>
        </is>
      </c>
      <c r="G28" t="inlineStr">
        <is>
          <t>Indefinido</t>
        </is>
      </c>
      <c r="H28" s="2" t="n">
        <v>44117</v>
      </c>
      <c r="I28" s="2" t="n"/>
      <c r="J28" t="inlineStr">
        <is>
          <t>Activo</t>
        </is>
      </c>
      <c r="K28" s="3" t="n">
        <v>0.5</v>
      </c>
      <c r="L28" s="4" t="n">
        <v>34535</v>
      </c>
      <c r="M28" s="3" t="n">
        <v>0.12</v>
      </c>
      <c r="N28" s="3" t="n">
        <v>0.282</v>
      </c>
      <c r="O28" s="4">
        <f>ROUND(L28*K28*(1+M28+N28),2)</f>
        <v/>
      </c>
      <c r="P28" t="inlineStr">
        <is>
          <t>Luis Gómez</t>
        </is>
      </c>
      <c r="Q28" t="inlineStr">
        <is>
          <t>México</t>
        </is>
      </c>
      <c r="R28" t="inlineStr">
        <is>
          <t>Guadalajara</t>
        </is>
      </c>
    </row>
    <row r="29">
      <c r="A29" t="inlineStr">
        <is>
          <t>EMP-0028</t>
        </is>
      </c>
      <c r="B29" t="inlineStr">
        <is>
          <t>Irene</t>
        </is>
      </c>
      <c r="C29" t="inlineStr">
        <is>
          <t>García</t>
        </is>
      </c>
      <c r="D29" t="inlineStr">
        <is>
          <t>Tecnología</t>
        </is>
      </c>
      <c r="E29" t="inlineStr">
        <is>
          <t>Administrador intranet</t>
        </is>
      </c>
      <c r="F29" t="inlineStr">
        <is>
          <t>Anuncios internet</t>
        </is>
      </c>
      <c r="G29" t="inlineStr">
        <is>
          <t>Indefinido</t>
        </is>
      </c>
      <c r="H29" s="2" t="n">
        <v>44733</v>
      </c>
      <c r="I29" s="2" t="n"/>
      <c r="J29" t="inlineStr">
        <is>
          <t>Activo</t>
        </is>
      </c>
      <c r="K29" s="3" t="n">
        <v>0.5</v>
      </c>
      <c r="L29" s="4" t="n">
        <v>53626</v>
      </c>
      <c r="M29" s="3" t="n">
        <v>0.03</v>
      </c>
      <c r="N29" s="3" t="n">
        <v>0.318</v>
      </c>
      <c r="O29" s="4">
        <f>ROUND(L29*K29*(1+M29+N29),2)</f>
        <v/>
      </c>
      <c r="P29" t="inlineStr">
        <is>
          <t>Jorge Molina</t>
        </is>
      </c>
      <c r="Q29" t="inlineStr">
        <is>
          <t>España</t>
        </is>
      </c>
      <c r="R29" t="inlineStr">
        <is>
          <t>Barcelona</t>
        </is>
      </c>
    </row>
    <row r="30">
      <c r="A30" t="inlineStr">
        <is>
          <t>EMP-0029</t>
        </is>
      </c>
      <c r="B30" t="inlineStr">
        <is>
          <t>Natalia</t>
        </is>
      </c>
      <c r="C30" t="inlineStr">
        <is>
          <t>Gómez</t>
        </is>
      </c>
      <c r="D30" t="inlineStr">
        <is>
          <t>Atención al cliente</t>
        </is>
      </c>
      <c r="E30" t="inlineStr">
        <is>
          <t>Account support</t>
        </is>
      </c>
      <c r="F30" t="inlineStr">
        <is>
          <t>Anuncios RRHH</t>
        </is>
      </c>
      <c r="G30" t="inlineStr">
        <is>
          <t>Indefinido</t>
        </is>
      </c>
      <c r="H30" s="2" t="n">
        <v>44188</v>
      </c>
      <c r="I30" s="2" t="n">
        <v>45257</v>
      </c>
      <c r="J30" t="inlineStr">
        <is>
          <t>Baja</t>
        </is>
      </c>
      <c r="K30" s="3" t="n">
        <v>1</v>
      </c>
      <c r="L30" s="4" t="n">
        <v>45872</v>
      </c>
      <c r="M30" s="3" t="n">
        <v>0.12</v>
      </c>
      <c r="N30" s="3" t="n">
        <v>0.299</v>
      </c>
      <c r="O30" s="4">
        <f>ROUND(L30*K30*(1+M30+N30),2)</f>
        <v/>
      </c>
      <c r="P30" t="inlineStr">
        <is>
          <t>Silvia Navarro</t>
        </is>
      </c>
      <c r="Q30" t="inlineStr">
        <is>
          <t>Chile</t>
        </is>
      </c>
      <c r="R30" t="inlineStr">
        <is>
          <t>Santiago</t>
        </is>
      </c>
    </row>
    <row r="31">
      <c r="A31" t="inlineStr">
        <is>
          <t>EMP-0030</t>
        </is>
      </c>
      <c r="B31" t="inlineStr">
        <is>
          <t>Natalia</t>
        </is>
      </c>
      <c r="C31" t="inlineStr">
        <is>
          <t>Martínez</t>
        </is>
      </c>
      <c r="D31" t="inlineStr">
        <is>
          <t>Redacción</t>
        </is>
      </c>
      <c r="E31" t="inlineStr">
        <is>
          <t>Content manager</t>
        </is>
      </c>
      <c r="F31" t="inlineStr">
        <is>
          <t>Anuncios prensa</t>
        </is>
      </c>
      <c r="G31" t="inlineStr">
        <is>
          <t>Indefinido</t>
        </is>
      </c>
      <c r="H31" s="2" t="n">
        <v>43107</v>
      </c>
      <c r="I31" s="2" t="n"/>
      <c r="J31" t="inlineStr">
        <is>
          <t>Activo</t>
        </is>
      </c>
      <c r="K31" s="3" t="n">
        <v>1</v>
      </c>
      <c r="L31" s="4" t="n">
        <v>44506</v>
      </c>
      <c r="M31" s="3" t="n">
        <v>0.1</v>
      </c>
      <c r="N31" s="3" t="n">
        <v>0.336</v>
      </c>
      <c r="O31" s="4">
        <f>ROUND(L31*K31*(1+M31+N31),2)</f>
        <v/>
      </c>
      <c r="P31" t="inlineStr">
        <is>
          <t>Jorge Molina</t>
        </is>
      </c>
      <c r="Q31" t="inlineStr">
        <is>
          <t>Colombia</t>
        </is>
      </c>
      <c r="R31" t="inlineStr">
        <is>
          <t>Bogotá</t>
        </is>
      </c>
    </row>
    <row r="32">
      <c r="A32" t="inlineStr">
        <is>
          <t>EMP-0031</t>
        </is>
      </c>
      <c r="B32" t="inlineStr">
        <is>
          <t>Álex</t>
        </is>
      </c>
      <c r="C32" t="inlineStr">
        <is>
          <t>Álvarez</t>
        </is>
      </c>
      <c r="D32" t="inlineStr">
        <is>
          <t>Tecnología</t>
        </is>
      </c>
      <c r="E32" t="inlineStr">
        <is>
          <t>Administrador intranet</t>
        </is>
      </c>
      <c r="F32" t="inlineStr">
        <is>
          <t>Anuncios RRHH</t>
        </is>
      </c>
      <c r="G32" t="inlineStr">
        <is>
          <t>Indefinido</t>
        </is>
      </c>
      <c r="H32" s="2" t="n">
        <v>43611</v>
      </c>
      <c r="I32" s="2" t="n"/>
      <c r="J32" t="inlineStr">
        <is>
          <t>Activo</t>
        </is>
      </c>
      <c r="K32" s="3" t="n">
        <v>1</v>
      </c>
      <c r="L32" s="4" t="n">
        <v>45150</v>
      </c>
      <c r="M32" s="3" t="n">
        <v>0.1</v>
      </c>
      <c r="N32" s="3" t="n">
        <v>0.305</v>
      </c>
      <c r="O32" s="4">
        <f>ROUND(L32*K32*(1+M32+N32),2)</f>
        <v/>
      </c>
      <c r="P32" t="inlineStr">
        <is>
          <t>Jorge Molina</t>
        </is>
      </c>
      <c r="Q32" t="inlineStr">
        <is>
          <t>España</t>
        </is>
      </c>
      <c r="R32" t="inlineStr">
        <is>
          <t>Valencia</t>
        </is>
      </c>
    </row>
    <row r="33">
      <c r="A33" t="inlineStr">
        <is>
          <t>EMP-0032</t>
        </is>
      </c>
      <c r="B33" t="inlineStr">
        <is>
          <t>Andrea</t>
        </is>
      </c>
      <c r="C33" t="inlineStr">
        <is>
          <t>Delgado</t>
        </is>
      </c>
      <c r="D33" t="inlineStr">
        <is>
          <t>Comercial</t>
        </is>
      </c>
      <c r="E33" t="inlineStr">
        <is>
          <t>Sales manager</t>
        </is>
      </c>
      <c r="F33" t="inlineStr">
        <is>
          <t>Anuncios TV</t>
        </is>
      </c>
      <c r="G33" t="inlineStr">
        <is>
          <t>Temporal</t>
        </is>
      </c>
      <c r="H33" s="2" t="n">
        <v>43813</v>
      </c>
      <c r="I33" s="2" t="n"/>
      <c r="J33" t="inlineStr">
        <is>
          <t>Activo</t>
        </is>
      </c>
      <c r="K33" s="3" t="n">
        <v>1</v>
      </c>
      <c r="L33" s="4" t="n">
        <v>43794</v>
      </c>
      <c r="M33" s="3" t="n">
        <v>0.12</v>
      </c>
      <c r="N33" s="3" t="n">
        <v>0.28</v>
      </c>
      <c r="O33" s="4">
        <f>ROUND(L33*K33*(1+M33+N33),2)</f>
        <v/>
      </c>
      <c r="P33" t="inlineStr">
        <is>
          <t>Luis Gómez</t>
        </is>
      </c>
      <c r="Q33" t="inlineStr">
        <is>
          <t>España</t>
        </is>
      </c>
      <c r="R33" t="inlineStr">
        <is>
          <t>Sevilla</t>
        </is>
      </c>
    </row>
    <row r="34">
      <c r="A34" t="inlineStr">
        <is>
          <t>EMP-0033</t>
        </is>
      </c>
      <c r="B34" t="inlineStr">
        <is>
          <t>Miguel</t>
        </is>
      </c>
      <c r="C34" t="inlineStr">
        <is>
          <t>Vázquez</t>
        </is>
      </c>
      <c r="D34" t="inlineStr">
        <is>
          <t>RRHH</t>
        </is>
      </c>
      <c r="E34" t="inlineStr">
        <is>
          <t>Recruitment marketer</t>
        </is>
      </c>
      <c r="F34" t="inlineStr">
        <is>
          <t>Anuncios RRHH</t>
        </is>
      </c>
      <c r="G34" t="inlineStr">
        <is>
          <t>Indefinido</t>
        </is>
      </c>
      <c r="H34" s="2" t="n">
        <v>43796</v>
      </c>
      <c r="I34" s="2" t="n"/>
      <c r="J34" t="inlineStr">
        <is>
          <t>Activo</t>
        </is>
      </c>
      <c r="K34" s="3" t="n">
        <v>1</v>
      </c>
      <c r="L34" s="4" t="n">
        <v>38890</v>
      </c>
      <c r="M34" s="3" t="n">
        <v>0.1</v>
      </c>
      <c r="N34" s="3" t="n">
        <v>0.318</v>
      </c>
      <c r="O34" s="4">
        <f>ROUND(L34*K34*(1+M34+N34),2)</f>
        <v/>
      </c>
      <c r="P34" t="inlineStr">
        <is>
          <t>Ana Torres</t>
        </is>
      </c>
      <c r="Q34" t="inlineStr">
        <is>
          <t>España</t>
        </is>
      </c>
      <c r="R34" t="inlineStr">
        <is>
          <t>Sevilla</t>
        </is>
      </c>
    </row>
    <row r="35">
      <c r="A35" t="inlineStr">
        <is>
          <t>EMP-0034</t>
        </is>
      </c>
      <c r="B35" t="inlineStr">
        <is>
          <t>Diego</t>
        </is>
      </c>
      <c r="C35" t="inlineStr">
        <is>
          <t>García</t>
        </is>
      </c>
      <c r="D35" t="inlineStr">
        <is>
          <t>Tecnología</t>
        </is>
      </c>
      <c r="E35" t="inlineStr">
        <is>
          <t>QA web</t>
        </is>
      </c>
      <c r="F35" t="inlineStr">
        <is>
          <t>Generación de noticias</t>
        </is>
      </c>
      <c r="G35" t="inlineStr">
        <is>
          <t>Indefinido</t>
        </is>
      </c>
      <c r="H35" s="2" t="n">
        <v>45047</v>
      </c>
      <c r="I35" s="2" t="n"/>
      <c r="J35" t="inlineStr">
        <is>
          <t>Activo</t>
        </is>
      </c>
      <c r="K35" s="3" t="n">
        <v>0.5</v>
      </c>
      <c r="L35" s="4" t="n">
        <v>44318</v>
      </c>
      <c r="M35" s="3" t="n">
        <v>0.1</v>
      </c>
      <c r="N35" s="3" t="n">
        <v>0.315</v>
      </c>
      <c r="O35" s="4">
        <f>ROUND(L35*K35*(1+M35+N35),2)</f>
        <v/>
      </c>
      <c r="P35" t="inlineStr">
        <is>
          <t>Jorge Molina</t>
        </is>
      </c>
      <c r="Q35" t="inlineStr">
        <is>
          <t>España</t>
        </is>
      </c>
      <c r="R35" t="inlineStr">
        <is>
          <t>Barcelona</t>
        </is>
      </c>
    </row>
    <row r="36">
      <c r="A36" t="inlineStr">
        <is>
          <t>EMP-0035</t>
        </is>
      </c>
      <c r="B36" t="inlineStr">
        <is>
          <t>Lucía</t>
        </is>
      </c>
      <c r="C36" t="inlineStr">
        <is>
          <t>Cano</t>
        </is>
      </c>
      <c r="D36" t="inlineStr">
        <is>
          <t>RRHH</t>
        </is>
      </c>
      <c r="E36" t="inlineStr">
        <is>
          <t>Employer branding specialist</t>
        </is>
      </c>
      <c r="F36" t="inlineStr">
        <is>
          <t>Anuncios internet</t>
        </is>
      </c>
      <c r="G36" t="inlineStr">
        <is>
          <t>Temporal</t>
        </is>
      </c>
      <c r="H36" s="2" t="n">
        <v>43537</v>
      </c>
      <c r="I36" s="2" t="n"/>
      <c r="J36" t="inlineStr">
        <is>
          <t>Activo</t>
        </is>
      </c>
      <c r="K36" s="3" t="n">
        <v>0.75</v>
      </c>
      <c r="L36" s="4" t="n">
        <v>27763</v>
      </c>
      <c r="M36" s="3" t="n">
        <v>0.12</v>
      </c>
      <c r="N36" s="3" t="n">
        <v>0.337</v>
      </c>
      <c r="O36" s="4">
        <f>ROUND(L36*K36*(1+M36+N36),2)</f>
        <v/>
      </c>
      <c r="P36" t="inlineStr">
        <is>
          <t>Fernando Ruiz</t>
        </is>
      </c>
      <c r="Q36" t="inlineStr">
        <is>
          <t>España</t>
        </is>
      </c>
      <c r="R36" t="inlineStr">
        <is>
          <t>Barcelona</t>
        </is>
      </c>
    </row>
    <row r="37">
      <c r="A37" t="inlineStr">
        <is>
          <t>EMP-0036</t>
        </is>
      </c>
      <c r="B37" t="inlineStr">
        <is>
          <t>Óscar</t>
        </is>
      </c>
      <c r="C37" t="inlineStr">
        <is>
          <t>Pérez</t>
        </is>
      </c>
      <c r="D37" t="inlineStr">
        <is>
          <t>Operaciones</t>
        </is>
      </c>
      <c r="E37" t="inlineStr">
        <is>
          <t>Project manager</t>
        </is>
      </c>
      <c r="F37" t="inlineStr">
        <is>
          <t>Anuncios TV</t>
        </is>
      </c>
      <c r="G37" t="inlineStr">
        <is>
          <t>Temporal</t>
        </is>
      </c>
      <c r="H37" s="2" t="n">
        <v>45276</v>
      </c>
      <c r="I37" s="2" t="n"/>
      <c r="J37" t="inlineStr">
        <is>
          <t>Activo</t>
        </is>
      </c>
      <c r="K37" s="3" t="n">
        <v>1</v>
      </c>
      <c r="L37" s="4" t="n">
        <v>32397</v>
      </c>
      <c r="M37" s="3" t="n">
        <v>0.12</v>
      </c>
      <c r="N37" s="3" t="n">
        <v>0.333</v>
      </c>
      <c r="O37" s="4">
        <f>ROUND(L37*K37*(1+M37+N37),2)</f>
        <v/>
      </c>
      <c r="P37" t="inlineStr">
        <is>
          <t>Jorge Molina</t>
        </is>
      </c>
      <c r="Q37" t="inlineStr">
        <is>
          <t>España</t>
        </is>
      </c>
      <c r="R37" t="inlineStr">
        <is>
          <t>Madrid</t>
        </is>
      </c>
    </row>
    <row r="38">
      <c r="A38" t="inlineStr">
        <is>
          <t>EMP-0037</t>
        </is>
      </c>
      <c r="B38" t="inlineStr">
        <is>
          <t>Elena</t>
        </is>
      </c>
      <c r="C38" t="inlineStr">
        <is>
          <t>Suárez</t>
        </is>
      </c>
      <c r="D38" t="inlineStr">
        <is>
          <t>Atención al cliente</t>
        </is>
      </c>
      <c r="E38" t="inlineStr">
        <is>
          <t>Account support</t>
        </is>
      </c>
      <c r="F38" t="inlineStr">
        <is>
          <t>Anuncios prensa</t>
        </is>
      </c>
      <c r="G38" t="inlineStr">
        <is>
          <t>Temporal</t>
        </is>
      </c>
      <c r="H38" s="2" t="n">
        <v>44944</v>
      </c>
      <c r="I38" s="2" t="n"/>
      <c r="J38" t="inlineStr">
        <is>
          <t>Activo</t>
        </is>
      </c>
      <c r="K38" s="3" t="n">
        <v>0.75</v>
      </c>
      <c r="L38" s="4" t="n">
        <v>49520</v>
      </c>
      <c r="M38" s="3" t="n">
        <v>0.1</v>
      </c>
      <c r="N38" s="3" t="n">
        <v>0.297</v>
      </c>
      <c r="O38" s="4">
        <f>ROUND(L38*K38*(1+M38+N38),2)</f>
        <v/>
      </c>
      <c r="P38" t="inlineStr">
        <is>
          <t>Fernando Ruiz</t>
        </is>
      </c>
      <c r="Q38" t="inlineStr">
        <is>
          <t>Colombia</t>
        </is>
      </c>
      <c r="R38" t="inlineStr">
        <is>
          <t>Medellín</t>
        </is>
      </c>
    </row>
    <row r="39">
      <c r="A39" t="inlineStr">
        <is>
          <t>EMP-0038</t>
        </is>
      </c>
      <c r="B39" t="inlineStr">
        <is>
          <t>Sergio</t>
        </is>
      </c>
      <c r="C39" t="inlineStr">
        <is>
          <t>Díaz</t>
        </is>
      </c>
      <c r="D39" t="inlineStr">
        <is>
          <t>Tecnología</t>
        </is>
      </c>
      <c r="E39" t="inlineStr">
        <is>
          <t>Desarrollador web</t>
        </is>
      </c>
      <c r="F39" t="inlineStr">
        <is>
          <t>Generación de noticias</t>
        </is>
      </c>
      <c r="G39" t="inlineStr">
        <is>
          <t>Indefinido</t>
        </is>
      </c>
      <c r="H39" s="2" t="n">
        <v>45313</v>
      </c>
      <c r="I39" s="2" t="n"/>
      <c r="J39" t="inlineStr">
        <is>
          <t>Activo</t>
        </is>
      </c>
      <c r="K39" s="3" t="n">
        <v>0.75</v>
      </c>
      <c r="L39" s="4" t="n">
        <v>36714</v>
      </c>
      <c r="M39" s="3" t="n">
        <v>0.1</v>
      </c>
      <c r="N39" s="3" t="n">
        <v>0.289</v>
      </c>
      <c r="O39" s="4">
        <f>ROUND(L39*K39*(1+M39+N39),2)</f>
        <v/>
      </c>
      <c r="P39" t="inlineStr">
        <is>
          <t>Ana Torres</t>
        </is>
      </c>
      <c r="Q39" t="inlineStr">
        <is>
          <t>España</t>
        </is>
      </c>
      <c r="R39" t="inlineStr">
        <is>
          <t>Valencia</t>
        </is>
      </c>
    </row>
    <row r="40">
      <c r="A40" t="inlineStr">
        <is>
          <t>EMP-0039</t>
        </is>
      </c>
      <c r="B40" t="inlineStr">
        <is>
          <t>Nuria</t>
        </is>
      </c>
      <c r="C40" t="inlineStr">
        <is>
          <t>Martínez</t>
        </is>
      </c>
      <c r="D40" t="inlineStr">
        <is>
          <t>RRHH</t>
        </is>
      </c>
      <c r="E40" t="inlineStr">
        <is>
          <t>Employer branding specialist</t>
        </is>
      </c>
      <c r="F40" t="inlineStr">
        <is>
          <t>Anuncios prensa</t>
        </is>
      </c>
      <c r="G40" t="inlineStr">
        <is>
          <t>Indefinido</t>
        </is>
      </c>
      <c r="H40" s="2" t="n">
        <v>44821</v>
      </c>
      <c r="I40" s="2" t="n"/>
      <c r="J40" t="inlineStr">
        <is>
          <t>Activo</t>
        </is>
      </c>
      <c r="K40" s="3" t="n">
        <v>1</v>
      </c>
      <c r="L40" s="4" t="n">
        <v>44790</v>
      </c>
      <c r="M40" s="3" t="n">
        <v>0</v>
      </c>
      <c r="N40" s="3" t="n">
        <v>0.331</v>
      </c>
      <c r="O40" s="4">
        <f>ROUND(L40*K40*(1+M40+N40),2)</f>
        <v/>
      </c>
      <c r="P40" t="inlineStr">
        <is>
          <t>Fernando Ruiz</t>
        </is>
      </c>
      <c r="Q40" t="inlineStr">
        <is>
          <t>España</t>
        </is>
      </c>
      <c r="R40" t="inlineStr">
        <is>
          <t>Sevilla</t>
        </is>
      </c>
    </row>
    <row r="41">
      <c r="A41" t="inlineStr">
        <is>
          <t>EMP-0040</t>
        </is>
      </c>
      <c r="B41" t="inlineStr">
        <is>
          <t>Andrea</t>
        </is>
      </c>
      <c r="C41" t="inlineStr">
        <is>
          <t>Marín</t>
        </is>
      </c>
      <c r="D41" t="inlineStr">
        <is>
          <t>Finanzas</t>
        </is>
      </c>
      <c r="E41" t="inlineStr">
        <is>
          <t>Controller</t>
        </is>
      </c>
      <c r="F41" t="inlineStr">
        <is>
          <t>Mantenimiento web</t>
        </is>
      </c>
      <c r="G41" t="inlineStr">
        <is>
          <t>Temporal</t>
        </is>
      </c>
      <c r="H41" s="2" t="n">
        <v>44817</v>
      </c>
      <c r="I41" s="2" t="n"/>
      <c r="J41" t="inlineStr">
        <is>
          <t>Activo</t>
        </is>
      </c>
      <c r="K41" s="3" t="n">
        <v>1</v>
      </c>
      <c r="L41" s="4" t="n">
        <v>48210</v>
      </c>
      <c r="M41" s="3" t="n">
        <v>0.08</v>
      </c>
      <c r="N41" s="3" t="n">
        <v>0.334</v>
      </c>
      <c r="O41" s="4">
        <f>ROUND(L41*K41*(1+M41+N41),2)</f>
        <v/>
      </c>
      <c r="P41" t="inlineStr">
        <is>
          <t>Luis Gómez</t>
        </is>
      </c>
      <c r="Q41" t="inlineStr">
        <is>
          <t>Chile</t>
        </is>
      </c>
      <c r="R41" t="inlineStr">
        <is>
          <t>Santiago</t>
        </is>
      </c>
    </row>
    <row r="42">
      <c r="A42" t="inlineStr">
        <is>
          <t>EMP-0041</t>
        </is>
      </c>
      <c r="B42" t="inlineStr">
        <is>
          <t>Marcos</t>
        </is>
      </c>
      <c r="C42" t="inlineStr">
        <is>
          <t>Delgado</t>
        </is>
      </c>
      <c r="D42" t="inlineStr">
        <is>
          <t>Comercial</t>
        </is>
      </c>
      <c r="E42" t="inlineStr">
        <is>
          <t>Sales manager</t>
        </is>
      </c>
      <c r="F42" t="inlineStr">
        <is>
          <t>Anuncios prensa</t>
        </is>
      </c>
      <c r="G42" t="inlineStr">
        <is>
          <t>Indefinido</t>
        </is>
      </c>
      <c r="H42" s="2" t="n">
        <v>44757</v>
      </c>
      <c r="I42" s="2" t="n"/>
      <c r="J42" t="inlineStr">
        <is>
          <t>Activo</t>
        </is>
      </c>
      <c r="K42" s="3" t="n">
        <v>1</v>
      </c>
      <c r="L42" s="4" t="n">
        <v>35279</v>
      </c>
      <c r="M42" s="3" t="n">
        <v>0.08</v>
      </c>
      <c r="N42" s="3" t="n">
        <v>0.282</v>
      </c>
      <c r="O42" s="4">
        <f>ROUND(L42*K42*(1+M42+N42),2)</f>
        <v/>
      </c>
      <c r="P42" t="inlineStr">
        <is>
          <t>Silvia Navarro</t>
        </is>
      </c>
      <c r="Q42" t="inlineStr">
        <is>
          <t>España</t>
        </is>
      </c>
      <c r="R42" t="inlineStr">
        <is>
          <t>Sevilla</t>
        </is>
      </c>
    </row>
    <row r="43">
      <c r="A43" t="inlineStr">
        <is>
          <t>EMP-0042</t>
        </is>
      </c>
      <c r="B43" t="inlineStr">
        <is>
          <t>Óscar</t>
        </is>
      </c>
      <c r="C43" t="inlineStr">
        <is>
          <t>Gómez</t>
        </is>
      </c>
      <c r="D43" t="inlineStr">
        <is>
          <t>Operaciones</t>
        </is>
      </c>
      <c r="E43" t="inlineStr">
        <is>
          <t>Especialista de cuentas</t>
        </is>
      </c>
      <c r="F43" t="inlineStr">
        <is>
          <t>Traducciones</t>
        </is>
      </c>
      <c r="G43" t="inlineStr">
        <is>
          <t>Indefinido</t>
        </is>
      </c>
      <c r="H43" s="2" t="n">
        <v>44653</v>
      </c>
      <c r="I43" s="2" t="n"/>
      <c r="J43" t="inlineStr">
        <is>
          <t>Activo</t>
        </is>
      </c>
      <c r="K43" s="3" t="n">
        <v>1</v>
      </c>
      <c r="L43" s="4" t="n">
        <v>32710</v>
      </c>
      <c r="M43" s="3" t="n">
        <v>0.03</v>
      </c>
      <c r="N43" s="3" t="n">
        <v>0.326</v>
      </c>
      <c r="O43" s="4">
        <f>ROUND(L43*K43*(1+M43+N43),2)</f>
        <v/>
      </c>
      <c r="P43" t="inlineStr">
        <is>
          <t>Patricia Romero</t>
        </is>
      </c>
      <c r="Q43" t="inlineStr">
        <is>
          <t>Portugal</t>
        </is>
      </c>
      <c r="R43" t="inlineStr">
        <is>
          <t>Lisboa</t>
        </is>
      </c>
    </row>
    <row r="44">
      <c r="A44" t="inlineStr">
        <is>
          <t>EMP-0043</t>
        </is>
      </c>
      <c r="B44" t="inlineStr">
        <is>
          <t>Carlos</t>
        </is>
      </c>
      <c r="C44" t="inlineStr">
        <is>
          <t>Suárez</t>
        </is>
      </c>
      <c r="D44" t="inlineStr">
        <is>
          <t>RRHH</t>
        </is>
      </c>
      <c r="E44" t="inlineStr">
        <is>
          <t>Especialista RRHH</t>
        </is>
      </c>
      <c r="F44" t="inlineStr">
        <is>
          <t>Generación de noticias</t>
        </is>
      </c>
      <c r="G44" t="inlineStr">
        <is>
          <t>Indefinido</t>
        </is>
      </c>
      <c r="H44" s="2" t="n">
        <v>44534</v>
      </c>
      <c r="I44" s="2" t="n"/>
      <c r="J44" t="inlineStr">
        <is>
          <t>Activo</t>
        </is>
      </c>
      <c r="K44" s="3" t="n">
        <v>0.5</v>
      </c>
      <c r="L44" s="4" t="n">
        <v>47599</v>
      </c>
      <c r="M44" s="3" t="n">
        <v>0.1</v>
      </c>
      <c r="N44" s="3" t="n">
        <v>0.282</v>
      </c>
      <c r="O44" s="4">
        <f>ROUND(L44*K44*(1+M44+N44),2)</f>
        <v/>
      </c>
      <c r="P44" t="inlineStr">
        <is>
          <t>Luis Gómez</t>
        </is>
      </c>
      <c r="Q44" t="inlineStr">
        <is>
          <t>Colombia</t>
        </is>
      </c>
      <c r="R44" t="inlineStr">
        <is>
          <t>Medellín</t>
        </is>
      </c>
    </row>
    <row r="45">
      <c r="A45" t="inlineStr">
        <is>
          <t>EMP-0044</t>
        </is>
      </c>
      <c r="B45" t="inlineStr">
        <is>
          <t>Carmen</t>
        </is>
      </c>
      <c r="C45" t="inlineStr">
        <is>
          <t>Domínguez</t>
        </is>
      </c>
      <c r="D45" t="inlineStr">
        <is>
          <t>Tecnología</t>
        </is>
      </c>
      <c r="E45" t="inlineStr">
        <is>
          <t>QA web</t>
        </is>
      </c>
      <c r="F45" t="inlineStr">
        <is>
          <t>Mantenimiento web</t>
        </is>
      </c>
      <c r="G45" t="inlineStr">
        <is>
          <t>Indefinido</t>
        </is>
      </c>
      <c r="H45" s="2" t="n">
        <v>45411</v>
      </c>
      <c r="I45" s="2" t="n"/>
      <c r="J45" t="inlineStr">
        <is>
          <t>Activo</t>
        </is>
      </c>
      <c r="K45" s="3" t="n">
        <v>1</v>
      </c>
      <c r="L45" s="4" t="n">
        <v>51019</v>
      </c>
      <c r="M45" s="3" t="n">
        <v>0.12</v>
      </c>
      <c r="N45" s="3" t="n">
        <v>0.302</v>
      </c>
      <c r="O45" s="4">
        <f>ROUND(L45*K45*(1+M45+N45),2)</f>
        <v/>
      </c>
      <c r="P45" t="inlineStr">
        <is>
          <t>Silvia Navarro</t>
        </is>
      </c>
      <c r="Q45" t="inlineStr">
        <is>
          <t>Portugal</t>
        </is>
      </c>
      <c r="R45" t="inlineStr">
        <is>
          <t>Lisboa</t>
        </is>
      </c>
    </row>
    <row r="46">
      <c r="A46" t="inlineStr">
        <is>
          <t>EMP-0045</t>
        </is>
      </c>
      <c r="B46" t="inlineStr">
        <is>
          <t>Joel</t>
        </is>
      </c>
      <c r="C46" t="inlineStr">
        <is>
          <t>García</t>
        </is>
      </c>
      <c r="D46" t="inlineStr">
        <is>
          <t>Redacción</t>
        </is>
      </c>
      <c r="E46" t="inlineStr">
        <is>
          <t>Content manager</t>
        </is>
      </c>
      <c r="F46" t="inlineStr">
        <is>
          <t>Publicación de noticias</t>
        </is>
      </c>
      <c r="G46" t="inlineStr">
        <is>
          <t>Freelance</t>
        </is>
      </c>
      <c r="H46" s="2" t="n">
        <v>45459</v>
      </c>
      <c r="I46" s="2" t="n"/>
      <c r="J46" t="inlineStr">
        <is>
          <t>Activo</t>
        </is>
      </c>
      <c r="K46" s="3" t="n">
        <v>1</v>
      </c>
      <c r="L46" s="4" t="n">
        <v>34997</v>
      </c>
      <c r="M46" s="3" t="n">
        <v>0.1</v>
      </c>
      <c r="N46" s="3" t="n">
        <v>0.292</v>
      </c>
      <c r="O46" s="4">
        <f>ROUND(L46*K46*(1+M46+N46),2)</f>
        <v/>
      </c>
      <c r="P46" t="inlineStr">
        <is>
          <t>Jorge Molina</t>
        </is>
      </c>
      <c r="Q46" t="inlineStr">
        <is>
          <t>Chile</t>
        </is>
      </c>
      <c r="R46" t="inlineStr">
        <is>
          <t>Santiago</t>
        </is>
      </c>
    </row>
    <row r="47">
      <c r="A47" t="inlineStr">
        <is>
          <t>EMP-0046</t>
        </is>
      </c>
      <c r="B47" t="inlineStr">
        <is>
          <t>Cristina</t>
        </is>
      </c>
      <c r="C47" t="inlineStr">
        <is>
          <t>Blanco</t>
        </is>
      </c>
      <c r="D47" t="inlineStr">
        <is>
          <t>Tecnología</t>
        </is>
      </c>
      <c r="E47" t="inlineStr">
        <is>
          <t>QA web</t>
        </is>
      </c>
      <c r="F47" t="inlineStr">
        <is>
          <t>Traducciones</t>
        </is>
      </c>
      <c r="G47" t="inlineStr">
        <is>
          <t>Indefinido</t>
        </is>
      </c>
      <c r="H47" s="2" t="n">
        <v>45419</v>
      </c>
      <c r="I47" s="2" t="n"/>
      <c r="J47" t="inlineStr">
        <is>
          <t>Activo</t>
        </is>
      </c>
      <c r="K47" s="3" t="n">
        <v>1</v>
      </c>
      <c r="L47" s="4" t="n">
        <v>46965</v>
      </c>
      <c r="M47" s="3" t="n">
        <v>0.1</v>
      </c>
      <c r="N47" s="3" t="n">
        <v>0.302</v>
      </c>
      <c r="O47" s="4">
        <f>ROUND(L47*K47*(1+M47+N47),2)</f>
        <v/>
      </c>
      <c r="P47" t="inlineStr">
        <is>
          <t>Jorge Molina</t>
        </is>
      </c>
      <c r="Q47" t="inlineStr">
        <is>
          <t>México</t>
        </is>
      </c>
      <c r="R47" t="inlineStr">
        <is>
          <t>Guadalajara</t>
        </is>
      </c>
    </row>
    <row r="48">
      <c r="A48" t="inlineStr">
        <is>
          <t>EMP-0047</t>
        </is>
      </c>
      <c r="B48" t="inlineStr">
        <is>
          <t>Paula</t>
        </is>
      </c>
      <c r="C48" t="inlineStr">
        <is>
          <t>Navarro</t>
        </is>
      </c>
      <c r="D48" t="inlineStr">
        <is>
          <t>Marketing</t>
        </is>
      </c>
      <c r="E48" t="inlineStr">
        <is>
          <t>Media planner</t>
        </is>
      </c>
      <c r="F48" t="inlineStr">
        <is>
          <t>Mantenimiento web</t>
        </is>
      </c>
      <c r="G48" t="inlineStr">
        <is>
          <t>Freelance</t>
        </is>
      </c>
      <c r="H48" s="2" t="n">
        <v>44984</v>
      </c>
      <c r="I48" s="2" t="n"/>
      <c r="J48" t="inlineStr">
        <is>
          <t>Activo</t>
        </is>
      </c>
      <c r="K48" s="3" t="n">
        <v>1</v>
      </c>
      <c r="L48" s="4" t="n">
        <v>37782</v>
      </c>
      <c r="M48" s="3" t="n">
        <v>0.08</v>
      </c>
      <c r="N48" s="3" t="n">
        <v>0.338</v>
      </c>
      <c r="O48" s="4">
        <f>ROUND(L48*K48*(1+M48+N48),2)</f>
        <v/>
      </c>
      <c r="P48" t="inlineStr">
        <is>
          <t>Silvia Navarro</t>
        </is>
      </c>
      <c r="Q48" t="inlineStr">
        <is>
          <t>Colombia</t>
        </is>
      </c>
      <c r="R48" t="inlineStr">
        <is>
          <t>Medellín</t>
        </is>
      </c>
    </row>
    <row r="49">
      <c r="A49" t="inlineStr">
        <is>
          <t>EMP-0048</t>
        </is>
      </c>
      <c r="B49" t="inlineStr">
        <is>
          <t>Alicia</t>
        </is>
      </c>
      <c r="C49" t="inlineStr">
        <is>
          <t>Marín</t>
        </is>
      </c>
      <c r="D49" t="inlineStr">
        <is>
          <t>Atención al cliente</t>
        </is>
      </c>
      <c r="E49" t="inlineStr">
        <is>
          <t>Account support</t>
        </is>
      </c>
      <c r="F49" t="inlineStr">
        <is>
          <t>Anuncios internet</t>
        </is>
      </c>
      <c r="G49" t="inlineStr">
        <is>
          <t>Indefinido</t>
        </is>
      </c>
      <c r="H49" s="2" t="n">
        <v>43455</v>
      </c>
      <c r="I49" s="2" t="n"/>
      <c r="J49" t="inlineStr">
        <is>
          <t>Activo</t>
        </is>
      </c>
      <c r="K49" s="3" t="n">
        <v>1</v>
      </c>
      <c r="L49" s="4" t="n">
        <v>29990</v>
      </c>
      <c r="M49" s="3" t="n">
        <v>0.12</v>
      </c>
      <c r="N49" s="3" t="n">
        <v>0.308</v>
      </c>
      <c r="O49" s="4">
        <f>ROUND(L49*K49*(1+M49+N49),2)</f>
        <v/>
      </c>
      <c r="P49" t="inlineStr">
        <is>
          <t>Jorge Molina</t>
        </is>
      </c>
      <c r="Q49" t="inlineStr">
        <is>
          <t>España</t>
        </is>
      </c>
      <c r="R49" t="inlineStr">
        <is>
          <t>Valencia</t>
        </is>
      </c>
    </row>
    <row r="50">
      <c r="A50" t="inlineStr">
        <is>
          <t>EMP-0049</t>
        </is>
      </c>
      <c r="B50" t="inlineStr">
        <is>
          <t>Pablo</t>
        </is>
      </c>
      <c r="C50" t="inlineStr">
        <is>
          <t>Domínguez</t>
        </is>
      </c>
      <c r="D50" t="inlineStr">
        <is>
          <t>RRHH</t>
        </is>
      </c>
      <c r="E50" t="inlineStr">
        <is>
          <t>Employer branding specialist</t>
        </is>
      </c>
      <c r="F50" t="inlineStr">
        <is>
          <t>Anuncios RRHH</t>
        </is>
      </c>
      <c r="G50" t="inlineStr">
        <is>
          <t>Indefinido</t>
        </is>
      </c>
      <c r="H50" s="2" t="n">
        <v>44159</v>
      </c>
      <c r="I50" s="2" t="n"/>
      <c r="J50" t="inlineStr">
        <is>
          <t>Activo</t>
        </is>
      </c>
      <c r="K50" s="3" t="n">
        <v>1</v>
      </c>
      <c r="L50" s="4" t="n">
        <v>44976</v>
      </c>
      <c r="M50" s="3" t="n">
        <v>0.03</v>
      </c>
      <c r="N50" s="3" t="n">
        <v>0.313</v>
      </c>
      <c r="O50" s="4">
        <f>ROUND(L50*K50*(1+M50+N50),2)</f>
        <v/>
      </c>
      <c r="P50" t="inlineStr">
        <is>
          <t>Luis Gómez</t>
        </is>
      </c>
      <c r="Q50" t="inlineStr">
        <is>
          <t>España</t>
        </is>
      </c>
      <c r="R50" t="inlineStr">
        <is>
          <t>Valencia</t>
        </is>
      </c>
    </row>
    <row r="51">
      <c r="A51" t="inlineStr">
        <is>
          <t>EMP-0050</t>
        </is>
      </c>
      <c r="B51" t="inlineStr">
        <is>
          <t>Gonzalo</t>
        </is>
      </c>
      <c r="C51" t="inlineStr">
        <is>
          <t>Molina</t>
        </is>
      </c>
      <c r="D51" t="inlineStr">
        <is>
          <t>Redacción</t>
        </is>
      </c>
      <c r="E51" t="inlineStr">
        <is>
          <t>Editor</t>
        </is>
      </c>
      <c r="F51" t="inlineStr">
        <is>
          <t>Mantenimiento intranets</t>
        </is>
      </c>
      <c r="G51" t="inlineStr">
        <is>
          <t>Indefinido</t>
        </is>
      </c>
      <c r="H51" s="2" t="n">
        <v>45051</v>
      </c>
      <c r="I51" s="2" t="n"/>
      <c r="J51" t="inlineStr">
        <is>
          <t>Activo</t>
        </is>
      </c>
      <c r="K51" s="3" t="n">
        <v>1</v>
      </c>
      <c r="L51" s="4" t="n">
        <v>36685</v>
      </c>
      <c r="M51" s="3" t="n">
        <v>0.12</v>
      </c>
      <c r="N51" s="3" t="n">
        <v>0.281</v>
      </c>
      <c r="O51" s="4">
        <f>ROUND(L51*K51*(1+M51+N51),2)</f>
        <v/>
      </c>
      <c r="P51" t="inlineStr">
        <is>
          <t>Luis Gómez</t>
        </is>
      </c>
      <c r="Q51" t="inlineStr">
        <is>
          <t>México</t>
        </is>
      </c>
      <c r="R51" t="inlineStr">
        <is>
          <t>Guadalajara</t>
        </is>
      </c>
    </row>
    <row r="52">
      <c r="A52" t="inlineStr">
        <is>
          <t>EMP-0051</t>
        </is>
      </c>
      <c r="B52" t="inlineStr">
        <is>
          <t>Beatriz</t>
        </is>
      </c>
      <c r="C52" t="inlineStr">
        <is>
          <t>Ramos</t>
        </is>
      </c>
      <c r="D52" t="inlineStr">
        <is>
          <t>RRHH</t>
        </is>
      </c>
      <c r="E52" t="inlineStr">
        <is>
          <t>Recruitment marketer</t>
        </is>
      </c>
      <c r="F52" t="inlineStr">
        <is>
          <t>Mantenimiento intranets</t>
        </is>
      </c>
      <c r="G52" t="inlineStr">
        <is>
          <t>Indefinido</t>
        </is>
      </c>
      <c r="H52" s="2" t="n">
        <v>44843</v>
      </c>
      <c r="I52" s="2" t="n"/>
      <c r="J52" t="inlineStr">
        <is>
          <t>Activo</t>
        </is>
      </c>
      <c r="K52" s="3" t="n">
        <v>1</v>
      </c>
      <c r="L52" s="4" t="n">
        <v>32839</v>
      </c>
      <c r="M52" s="3" t="n">
        <v>0.03</v>
      </c>
      <c r="N52" s="3" t="n">
        <v>0.322</v>
      </c>
      <c r="O52" s="4">
        <f>ROUND(L52*K52*(1+M52+N52),2)</f>
        <v/>
      </c>
      <c r="P52" t="inlineStr">
        <is>
          <t>Patricia Romero</t>
        </is>
      </c>
      <c r="Q52" t="inlineStr">
        <is>
          <t>España</t>
        </is>
      </c>
      <c r="R52" t="inlineStr">
        <is>
          <t>Valencia</t>
        </is>
      </c>
    </row>
    <row r="53">
      <c r="A53" t="inlineStr">
        <is>
          <t>EMP-0052</t>
        </is>
      </c>
      <c r="B53" t="inlineStr">
        <is>
          <t>Alicia</t>
        </is>
      </c>
      <c r="C53" t="inlineStr">
        <is>
          <t>Sánchez</t>
        </is>
      </c>
      <c r="D53" t="inlineStr">
        <is>
          <t>Comercial</t>
        </is>
      </c>
      <c r="E53" t="inlineStr">
        <is>
          <t>Business developer</t>
        </is>
      </c>
      <c r="F53" t="inlineStr">
        <is>
          <t>Mantenimiento intranets</t>
        </is>
      </c>
      <c r="G53" t="inlineStr">
        <is>
          <t>Temporal</t>
        </is>
      </c>
      <c r="H53" s="2" t="n">
        <v>43859</v>
      </c>
      <c r="I53" s="2" t="n"/>
      <c r="J53" t="inlineStr">
        <is>
          <t>Activo</t>
        </is>
      </c>
      <c r="K53" s="3" t="n">
        <v>1</v>
      </c>
      <c r="L53" s="4" t="n">
        <v>40995</v>
      </c>
      <c r="M53" s="3" t="n">
        <v>0.08</v>
      </c>
      <c r="N53" s="3" t="n">
        <v>0.339</v>
      </c>
      <c r="O53" s="4">
        <f>ROUND(L53*K53*(1+M53+N53),2)</f>
        <v/>
      </c>
      <c r="P53" t="inlineStr">
        <is>
          <t>Silvia Navarro</t>
        </is>
      </c>
      <c r="Q53" t="inlineStr">
        <is>
          <t>España</t>
        </is>
      </c>
      <c r="R53" t="inlineStr">
        <is>
          <t>Barcelona</t>
        </is>
      </c>
    </row>
    <row r="54">
      <c r="A54" t="inlineStr">
        <is>
          <t>EMP-0053</t>
        </is>
      </c>
      <c r="B54" t="inlineStr">
        <is>
          <t>Irene</t>
        </is>
      </c>
      <c r="C54" t="inlineStr">
        <is>
          <t>Romero</t>
        </is>
      </c>
      <c r="D54" t="inlineStr">
        <is>
          <t>Comercial</t>
        </is>
      </c>
      <c r="E54" t="inlineStr">
        <is>
          <t>Business developer</t>
        </is>
      </c>
      <c r="F54" t="inlineStr">
        <is>
          <t>Traducciones</t>
        </is>
      </c>
      <c r="G54" t="inlineStr">
        <is>
          <t>Indefinido</t>
        </is>
      </c>
      <c r="H54" s="2" t="n">
        <v>43158</v>
      </c>
      <c r="I54" s="2" t="n"/>
      <c r="J54" t="inlineStr">
        <is>
          <t>Activo</t>
        </is>
      </c>
      <c r="K54" s="3" t="n">
        <v>0.75</v>
      </c>
      <c r="L54" s="4" t="n">
        <v>35360</v>
      </c>
      <c r="M54" s="3" t="n">
        <v>0</v>
      </c>
      <c r="N54" s="3" t="n">
        <v>0.313</v>
      </c>
      <c r="O54" s="4">
        <f>ROUND(L54*K54*(1+M54+N54),2)</f>
        <v/>
      </c>
      <c r="P54" t="inlineStr">
        <is>
          <t>Luis Gómez</t>
        </is>
      </c>
      <c r="Q54" t="inlineStr">
        <is>
          <t>Colombia</t>
        </is>
      </c>
      <c r="R54" t="inlineStr">
        <is>
          <t>Medellín</t>
        </is>
      </c>
    </row>
    <row r="55">
      <c r="A55" t="inlineStr">
        <is>
          <t>EMP-0054</t>
        </is>
      </c>
      <c r="B55" t="inlineStr">
        <is>
          <t>Beatriz</t>
        </is>
      </c>
      <c r="C55" t="inlineStr">
        <is>
          <t>Domínguez</t>
        </is>
      </c>
      <c r="D55" t="inlineStr">
        <is>
          <t>Finanzas</t>
        </is>
      </c>
      <c r="E55" t="inlineStr">
        <is>
          <t>Analista financiero</t>
        </is>
      </c>
      <c r="F55" t="inlineStr">
        <is>
          <t>Traducciones</t>
        </is>
      </c>
      <c r="G55" t="inlineStr">
        <is>
          <t>Indefinido</t>
        </is>
      </c>
      <c r="H55" s="2" t="n">
        <v>43856</v>
      </c>
      <c r="I55" s="2" t="n"/>
      <c r="J55" t="inlineStr">
        <is>
          <t>Activo</t>
        </is>
      </c>
      <c r="K55" s="3" t="n">
        <v>1</v>
      </c>
      <c r="L55" s="4" t="n">
        <v>50236</v>
      </c>
      <c r="M55" s="3" t="n">
        <v>0.05</v>
      </c>
      <c r="N55" s="3" t="n">
        <v>0.287</v>
      </c>
      <c r="O55" s="4">
        <f>ROUND(L55*K55*(1+M55+N55),2)</f>
        <v/>
      </c>
      <c r="P55" t="inlineStr">
        <is>
          <t>Fernando Ruiz</t>
        </is>
      </c>
      <c r="Q55" t="inlineStr">
        <is>
          <t>Colombia</t>
        </is>
      </c>
      <c r="R55" t="inlineStr">
        <is>
          <t>Medellín</t>
        </is>
      </c>
    </row>
    <row r="56">
      <c r="A56" t="inlineStr">
        <is>
          <t>EMP-0055</t>
        </is>
      </c>
      <c r="B56" t="inlineStr">
        <is>
          <t>Diego</t>
        </is>
      </c>
      <c r="C56" t="inlineStr">
        <is>
          <t>Pérez</t>
        </is>
      </c>
      <c r="D56" t="inlineStr">
        <is>
          <t>Finanzas</t>
        </is>
      </c>
      <c r="E56" t="inlineStr">
        <is>
          <t>Técnico de facturación</t>
        </is>
      </c>
      <c r="F56" t="inlineStr">
        <is>
          <t>Traducciones</t>
        </is>
      </c>
      <c r="G56" t="inlineStr">
        <is>
          <t>Temporal</t>
        </is>
      </c>
      <c r="H56" s="2" t="n">
        <v>44345</v>
      </c>
      <c r="I56" s="2" t="n"/>
      <c r="J56" t="inlineStr">
        <is>
          <t>Activo</t>
        </is>
      </c>
      <c r="K56" s="3" t="n">
        <v>0.75</v>
      </c>
      <c r="L56" s="4" t="n">
        <v>25881</v>
      </c>
      <c r="M56" s="3" t="n">
        <v>0.08</v>
      </c>
      <c r="N56" s="3" t="n">
        <v>0.326</v>
      </c>
      <c r="O56" s="4">
        <f>ROUND(L56*K56*(1+M56+N56),2)</f>
        <v/>
      </c>
      <c r="P56" t="inlineStr">
        <is>
          <t>Silvia Navarro</t>
        </is>
      </c>
      <c r="Q56" t="inlineStr">
        <is>
          <t>España</t>
        </is>
      </c>
      <c r="R56" t="inlineStr">
        <is>
          <t>Madrid</t>
        </is>
      </c>
    </row>
    <row r="57">
      <c r="A57" t="inlineStr">
        <is>
          <t>EMP-0056</t>
        </is>
      </c>
      <c r="B57" t="inlineStr">
        <is>
          <t>Hugo</t>
        </is>
      </c>
      <c r="C57" t="inlineStr">
        <is>
          <t>Marín</t>
        </is>
      </c>
      <c r="D57" t="inlineStr">
        <is>
          <t>Tecnología</t>
        </is>
      </c>
      <c r="E57" t="inlineStr">
        <is>
          <t>Desarrollador web</t>
        </is>
      </c>
      <c r="F57" t="inlineStr">
        <is>
          <t>Anuncios TV</t>
        </is>
      </c>
      <c r="G57" t="inlineStr">
        <is>
          <t>Indefinido</t>
        </is>
      </c>
      <c r="H57" s="2" t="n">
        <v>44857</v>
      </c>
      <c r="I57" s="2" t="n"/>
      <c r="J57" t="inlineStr">
        <is>
          <t>Activo</t>
        </is>
      </c>
      <c r="K57" s="3" t="n">
        <v>1</v>
      </c>
      <c r="L57" s="4" t="n">
        <v>32967</v>
      </c>
      <c r="M57" s="3" t="n">
        <v>0.1</v>
      </c>
      <c r="N57" s="3" t="n">
        <v>0.286</v>
      </c>
      <c r="O57" s="4">
        <f>ROUND(L57*K57*(1+M57+N57),2)</f>
        <v/>
      </c>
      <c r="P57" t="inlineStr">
        <is>
          <t>Jorge Molina</t>
        </is>
      </c>
      <c r="Q57" t="inlineStr">
        <is>
          <t>España</t>
        </is>
      </c>
      <c r="R57" t="inlineStr">
        <is>
          <t>Sevilla</t>
        </is>
      </c>
    </row>
    <row r="58">
      <c r="A58" t="inlineStr">
        <is>
          <t>EMP-0057</t>
        </is>
      </c>
      <c r="B58" t="inlineStr">
        <is>
          <t>Sergio</t>
        </is>
      </c>
      <c r="C58" t="inlineStr">
        <is>
          <t>Gómez</t>
        </is>
      </c>
      <c r="D58" t="inlineStr">
        <is>
          <t>Tecnología</t>
        </is>
      </c>
      <c r="E58" t="inlineStr">
        <is>
          <t>QA web</t>
        </is>
      </c>
      <c r="F58" t="inlineStr">
        <is>
          <t>Generación de noticias</t>
        </is>
      </c>
      <c r="G58" t="inlineStr">
        <is>
          <t>Indefinido</t>
        </is>
      </c>
      <c r="H58" s="2" t="n">
        <v>43742</v>
      </c>
      <c r="I58" s="2" t="n">
        <v>44844</v>
      </c>
      <c r="J58" t="inlineStr">
        <is>
          <t>Baja</t>
        </is>
      </c>
      <c r="K58" s="3" t="n">
        <v>1</v>
      </c>
      <c r="L58" s="4" t="n">
        <v>43783</v>
      </c>
      <c r="M58" s="3" t="n">
        <v>0</v>
      </c>
      <c r="N58" s="3" t="n">
        <v>0.294</v>
      </c>
      <c r="O58" s="4">
        <f>ROUND(L58*K58*(1+M58+N58),2)</f>
        <v/>
      </c>
      <c r="P58" t="inlineStr">
        <is>
          <t>Patricia Romero</t>
        </is>
      </c>
      <c r="Q58" t="inlineStr">
        <is>
          <t>Portugal</t>
        </is>
      </c>
      <c r="R58" t="inlineStr">
        <is>
          <t>Lisboa</t>
        </is>
      </c>
    </row>
    <row r="59">
      <c r="A59" t="inlineStr">
        <is>
          <t>EMP-0058</t>
        </is>
      </c>
      <c r="B59" t="inlineStr">
        <is>
          <t>Joel</t>
        </is>
      </c>
      <c r="C59" t="inlineStr">
        <is>
          <t>Delgado</t>
        </is>
      </c>
      <c r="D59" t="inlineStr">
        <is>
          <t>Finanzas</t>
        </is>
      </c>
      <c r="E59" t="inlineStr">
        <is>
          <t>Controller</t>
        </is>
      </c>
      <c r="F59" t="inlineStr">
        <is>
          <t>Traducciones</t>
        </is>
      </c>
      <c r="G59" t="inlineStr">
        <is>
          <t>Temporal</t>
        </is>
      </c>
      <c r="H59" s="2" t="n">
        <v>43911</v>
      </c>
      <c r="I59" s="2" t="n"/>
      <c r="J59" t="inlineStr">
        <is>
          <t>Activo</t>
        </is>
      </c>
      <c r="K59" s="3" t="n">
        <v>1</v>
      </c>
      <c r="L59" s="4" t="n">
        <v>29366</v>
      </c>
      <c r="M59" s="3" t="n">
        <v>0.1</v>
      </c>
      <c r="N59" s="3" t="n">
        <v>0.289</v>
      </c>
      <c r="O59" s="4">
        <f>ROUND(L59*K59*(1+M59+N59),2)</f>
        <v/>
      </c>
      <c r="P59" t="inlineStr">
        <is>
          <t>Luis Gómez</t>
        </is>
      </c>
      <c r="Q59" t="inlineStr">
        <is>
          <t>México</t>
        </is>
      </c>
      <c r="R59" t="inlineStr">
        <is>
          <t>Guadalajara</t>
        </is>
      </c>
    </row>
    <row r="60">
      <c r="A60" t="inlineStr">
        <is>
          <t>EMP-0059</t>
        </is>
      </c>
      <c r="B60" t="inlineStr">
        <is>
          <t>Cristina</t>
        </is>
      </c>
      <c r="C60" t="inlineStr">
        <is>
          <t>Suárez</t>
        </is>
      </c>
      <c r="D60" t="inlineStr">
        <is>
          <t>Redacción</t>
        </is>
      </c>
      <c r="E60" t="inlineStr">
        <is>
          <t>Editor</t>
        </is>
      </c>
      <c r="F60" t="inlineStr">
        <is>
          <t>Mantenimiento web</t>
        </is>
      </c>
      <c r="G60" t="inlineStr">
        <is>
          <t>Temporal</t>
        </is>
      </c>
      <c r="H60" s="2" t="n">
        <v>44283</v>
      </c>
      <c r="I60" s="2" t="n"/>
      <c r="J60" t="inlineStr">
        <is>
          <t>Activo</t>
        </is>
      </c>
      <c r="K60" s="3" t="n">
        <v>1</v>
      </c>
      <c r="L60" s="4" t="n">
        <v>44566</v>
      </c>
      <c r="M60" s="3" t="n">
        <v>0.03</v>
      </c>
      <c r="N60" s="3" t="n">
        <v>0.322</v>
      </c>
      <c r="O60" s="4">
        <f>ROUND(L60*K60*(1+M60+N60),2)</f>
        <v/>
      </c>
      <c r="P60" t="inlineStr">
        <is>
          <t>Silvia Navarro</t>
        </is>
      </c>
      <c r="Q60" t="inlineStr">
        <is>
          <t>España</t>
        </is>
      </c>
      <c r="R60" t="inlineStr">
        <is>
          <t>Valencia</t>
        </is>
      </c>
    </row>
    <row r="61">
      <c r="A61" t="inlineStr">
        <is>
          <t>EMP-0060</t>
        </is>
      </c>
      <c r="B61" t="inlineStr">
        <is>
          <t>Víctor</t>
        </is>
      </c>
      <c r="C61" t="inlineStr">
        <is>
          <t>Suárez</t>
        </is>
      </c>
      <c r="D61" t="inlineStr">
        <is>
          <t>Atención al cliente</t>
        </is>
      </c>
      <c r="E61" t="inlineStr">
        <is>
          <t>Account support</t>
        </is>
      </c>
      <c r="F61" t="inlineStr">
        <is>
          <t>Anuncios internet</t>
        </is>
      </c>
      <c r="G61" t="inlineStr">
        <is>
          <t>Indefinido</t>
        </is>
      </c>
      <c r="H61" s="2" t="n">
        <v>44126</v>
      </c>
      <c r="I61" s="2" t="n">
        <v>44774</v>
      </c>
      <c r="J61" t="inlineStr">
        <is>
          <t>Baja</t>
        </is>
      </c>
      <c r="K61" s="3" t="n">
        <v>1</v>
      </c>
      <c r="L61" s="4" t="n">
        <v>41238</v>
      </c>
      <c r="M61" s="3" t="n">
        <v>0</v>
      </c>
      <c r="N61" s="3" t="n">
        <v>0.34</v>
      </c>
      <c r="O61" s="4">
        <f>ROUND(L61*K61*(1+M61+N61),2)</f>
        <v/>
      </c>
      <c r="P61" t="inlineStr">
        <is>
          <t>Patricia Romero</t>
        </is>
      </c>
      <c r="Q61" t="inlineStr">
        <is>
          <t>España</t>
        </is>
      </c>
      <c r="R61" t="inlineStr">
        <is>
          <t>Madrid</t>
        </is>
      </c>
    </row>
    <row r="62">
      <c r="A62" t="inlineStr">
        <is>
          <t>EMP-0061</t>
        </is>
      </c>
      <c r="B62" t="inlineStr">
        <is>
          <t>Rubén</t>
        </is>
      </c>
      <c r="C62" t="inlineStr">
        <is>
          <t>Gómez</t>
        </is>
      </c>
      <c r="D62" t="inlineStr">
        <is>
          <t>Operaciones</t>
        </is>
      </c>
      <c r="E62" t="inlineStr">
        <is>
          <t>Especialista de cuentas</t>
        </is>
      </c>
      <c r="F62" t="inlineStr">
        <is>
          <t>Publicación de noticias</t>
        </is>
      </c>
      <c r="G62" t="inlineStr">
        <is>
          <t>Freelance</t>
        </is>
      </c>
      <c r="H62" s="2" t="n">
        <v>44886</v>
      </c>
      <c r="I62" s="2" t="n"/>
      <c r="J62" t="inlineStr">
        <is>
          <t>Activo</t>
        </is>
      </c>
      <c r="K62" s="3" t="n">
        <v>1</v>
      </c>
      <c r="L62" s="4" t="n">
        <v>24989</v>
      </c>
      <c r="M62" s="3" t="n">
        <v>0.05</v>
      </c>
      <c r="N62" s="3" t="n">
        <v>0.301</v>
      </c>
      <c r="O62" s="4">
        <f>ROUND(L62*K62*(1+M62+N62),2)</f>
        <v/>
      </c>
      <c r="P62" t="inlineStr">
        <is>
          <t>Patricia Romero</t>
        </is>
      </c>
      <c r="Q62" t="inlineStr">
        <is>
          <t>España</t>
        </is>
      </c>
      <c r="R62" t="inlineStr">
        <is>
          <t>Sevilla</t>
        </is>
      </c>
    </row>
    <row r="63">
      <c r="A63" t="inlineStr">
        <is>
          <t>EMP-0062</t>
        </is>
      </c>
      <c r="B63" t="inlineStr">
        <is>
          <t>Claudia</t>
        </is>
      </c>
      <c r="C63" t="inlineStr">
        <is>
          <t>Delgado</t>
        </is>
      </c>
      <c r="D63" t="inlineStr">
        <is>
          <t>Redacción</t>
        </is>
      </c>
      <c r="E63" t="inlineStr">
        <is>
          <t>Editor</t>
        </is>
      </c>
      <c r="F63" t="inlineStr">
        <is>
          <t>Publicación de noticias</t>
        </is>
      </c>
      <c r="G63" t="inlineStr">
        <is>
          <t>Freelance</t>
        </is>
      </c>
      <c r="H63" s="2" t="n">
        <v>45354</v>
      </c>
      <c r="I63" s="2" t="n">
        <v>45714</v>
      </c>
      <c r="J63" t="inlineStr">
        <is>
          <t>Baja</t>
        </is>
      </c>
      <c r="K63" s="3" t="n">
        <v>1</v>
      </c>
      <c r="L63" s="4" t="n">
        <v>30270</v>
      </c>
      <c r="M63" s="3" t="n">
        <v>0.03</v>
      </c>
      <c r="N63" s="3" t="n">
        <v>0.287</v>
      </c>
      <c r="O63" s="4">
        <f>ROUND(L63*K63*(1+M63+N63),2)</f>
        <v/>
      </c>
      <c r="P63" t="inlineStr">
        <is>
          <t>Silvia Navarro</t>
        </is>
      </c>
      <c r="Q63" t="inlineStr">
        <is>
          <t>España</t>
        </is>
      </c>
      <c r="R63" t="inlineStr">
        <is>
          <t>Sevilla</t>
        </is>
      </c>
    </row>
    <row r="64">
      <c r="A64" t="inlineStr">
        <is>
          <t>EMP-0063</t>
        </is>
      </c>
      <c r="B64" t="inlineStr">
        <is>
          <t>Laura</t>
        </is>
      </c>
      <c r="C64" t="inlineStr">
        <is>
          <t>Vázquez</t>
        </is>
      </c>
      <c r="D64" t="inlineStr">
        <is>
          <t>Operaciones</t>
        </is>
      </c>
      <c r="E64" t="inlineStr">
        <is>
          <t>Especialista de cuentas</t>
        </is>
      </c>
      <c r="F64" t="inlineStr">
        <is>
          <t>Anuncios TV</t>
        </is>
      </c>
      <c r="G64" t="inlineStr">
        <is>
          <t>Indefinido</t>
        </is>
      </c>
      <c r="H64" s="2" t="n">
        <v>45142</v>
      </c>
      <c r="I64" s="2" t="n"/>
      <c r="J64" t="inlineStr">
        <is>
          <t>Activo</t>
        </is>
      </c>
      <c r="K64" s="3" t="n">
        <v>0.5</v>
      </c>
      <c r="L64" s="4" t="n">
        <v>28670</v>
      </c>
      <c r="M64" s="3" t="n">
        <v>0.03</v>
      </c>
      <c r="N64" s="3" t="n">
        <v>0.313</v>
      </c>
      <c r="O64" s="4">
        <f>ROUND(L64*K64*(1+M64+N64),2)</f>
        <v/>
      </c>
      <c r="P64" t="inlineStr">
        <is>
          <t>Fernando Ruiz</t>
        </is>
      </c>
      <c r="Q64" t="inlineStr">
        <is>
          <t>España</t>
        </is>
      </c>
      <c r="R64" t="inlineStr">
        <is>
          <t>Madrid</t>
        </is>
      </c>
    </row>
    <row r="65">
      <c r="A65" t="inlineStr">
        <is>
          <t>EMP-0064</t>
        </is>
      </c>
      <c r="B65" t="inlineStr">
        <is>
          <t>Elena</t>
        </is>
      </c>
      <c r="C65" t="inlineStr">
        <is>
          <t>Moreno</t>
        </is>
      </c>
      <c r="D65" t="inlineStr">
        <is>
          <t>Finanzas</t>
        </is>
      </c>
      <c r="E65" t="inlineStr">
        <is>
          <t>Analista financiero</t>
        </is>
      </c>
      <c r="F65" t="inlineStr">
        <is>
          <t>Traducciones</t>
        </is>
      </c>
      <c r="G65" t="inlineStr">
        <is>
          <t>Indefinido</t>
        </is>
      </c>
      <c r="H65" s="2" t="n">
        <v>45363</v>
      </c>
      <c r="I65" s="2" t="n"/>
      <c r="J65" t="inlineStr">
        <is>
          <t>Activo</t>
        </is>
      </c>
      <c r="K65" s="3" t="n">
        <v>0.75</v>
      </c>
      <c r="L65" s="4" t="n">
        <v>49571</v>
      </c>
      <c r="M65" s="3" t="n">
        <v>0</v>
      </c>
      <c r="N65" s="3" t="n">
        <v>0.308</v>
      </c>
      <c r="O65" s="4">
        <f>ROUND(L65*K65*(1+M65+N65),2)</f>
        <v/>
      </c>
      <c r="P65" t="inlineStr">
        <is>
          <t>Jorge Molina</t>
        </is>
      </c>
      <c r="Q65" t="inlineStr">
        <is>
          <t>España</t>
        </is>
      </c>
      <c r="R65" t="inlineStr">
        <is>
          <t>Barcelona</t>
        </is>
      </c>
    </row>
    <row r="66">
      <c r="A66" t="inlineStr">
        <is>
          <t>EMP-0065</t>
        </is>
      </c>
      <c r="B66" t="inlineStr">
        <is>
          <t>Noelia</t>
        </is>
      </c>
      <c r="C66" t="inlineStr">
        <is>
          <t>Castro</t>
        </is>
      </c>
      <c r="D66" t="inlineStr">
        <is>
          <t>Traducción</t>
        </is>
      </c>
      <c r="E66" t="inlineStr">
        <is>
          <t>Traductor</t>
        </is>
      </c>
      <c r="F66" t="inlineStr">
        <is>
          <t>Anuncios internet</t>
        </is>
      </c>
      <c r="G66" t="inlineStr">
        <is>
          <t>Indefinido</t>
        </is>
      </c>
      <c r="H66" s="2" t="n">
        <v>45077</v>
      </c>
      <c r="I66" s="2" t="n"/>
      <c r="J66" t="inlineStr">
        <is>
          <t>Activo</t>
        </is>
      </c>
      <c r="K66" s="3" t="n">
        <v>0.75</v>
      </c>
      <c r="L66" s="4" t="n">
        <v>36967</v>
      </c>
      <c r="M66" s="3" t="n">
        <v>0.08</v>
      </c>
      <c r="N66" s="3" t="n">
        <v>0.289</v>
      </c>
      <c r="O66" s="4">
        <f>ROUND(L66*K66*(1+M66+N66),2)</f>
        <v/>
      </c>
      <c r="P66" t="inlineStr">
        <is>
          <t>Silvia Navarro</t>
        </is>
      </c>
      <c r="Q66" t="inlineStr">
        <is>
          <t>Chile</t>
        </is>
      </c>
      <c r="R66" t="inlineStr">
        <is>
          <t>Santiago</t>
        </is>
      </c>
    </row>
    <row r="67">
      <c r="A67" t="inlineStr">
        <is>
          <t>EMP-0066</t>
        </is>
      </c>
      <c r="B67" t="inlineStr">
        <is>
          <t>Nuria</t>
        </is>
      </c>
      <c r="C67" t="inlineStr">
        <is>
          <t>Álvarez</t>
        </is>
      </c>
      <c r="D67" t="inlineStr">
        <is>
          <t>Atención al cliente</t>
        </is>
      </c>
      <c r="E67" t="inlineStr">
        <is>
          <t>Account support</t>
        </is>
      </c>
      <c r="F67" t="inlineStr">
        <is>
          <t>Publicación de noticias</t>
        </is>
      </c>
      <c r="G67" t="inlineStr">
        <is>
          <t>Freelance</t>
        </is>
      </c>
      <c r="H67" s="2" t="n">
        <v>45180</v>
      </c>
      <c r="I67" s="2" t="n"/>
      <c r="J67" t="inlineStr">
        <is>
          <t>Activo</t>
        </is>
      </c>
      <c r="K67" s="3" t="n">
        <v>0.5</v>
      </c>
      <c r="L67" s="4" t="n">
        <v>31268</v>
      </c>
      <c r="M67" s="3" t="n">
        <v>0.1</v>
      </c>
      <c r="N67" s="3" t="n">
        <v>0.298</v>
      </c>
      <c r="O67" s="4">
        <f>ROUND(L67*K67*(1+M67+N67),2)</f>
        <v/>
      </c>
      <c r="P67" t="inlineStr">
        <is>
          <t>Silvia Navarro</t>
        </is>
      </c>
      <c r="Q67" t="inlineStr">
        <is>
          <t>Colombia</t>
        </is>
      </c>
      <c r="R67" t="inlineStr">
        <is>
          <t>Medellín</t>
        </is>
      </c>
    </row>
    <row r="68">
      <c r="A68" t="inlineStr">
        <is>
          <t>EMP-0067</t>
        </is>
      </c>
      <c r="B68" t="inlineStr">
        <is>
          <t>Teresa</t>
        </is>
      </c>
      <c r="C68" t="inlineStr">
        <is>
          <t>Álvarez</t>
        </is>
      </c>
      <c r="D68" t="inlineStr">
        <is>
          <t>Finanzas</t>
        </is>
      </c>
      <c r="E68" t="inlineStr">
        <is>
          <t>Analista financiero</t>
        </is>
      </c>
      <c r="F68" t="inlineStr">
        <is>
          <t>Publicación de noticias</t>
        </is>
      </c>
      <c r="G68" t="inlineStr">
        <is>
          <t>Indefinido</t>
        </is>
      </c>
      <c r="H68" s="2" t="n">
        <v>45326</v>
      </c>
      <c r="I68" s="2" t="n"/>
      <c r="J68" t="inlineStr">
        <is>
          <t>Activo</t>
        </is>
      </c>
      <c r="K68" s="3" t="n">
        <v>1</v>
      </c>
      <c r="L68" s="4" t="n">
        <v>50495</v>
      </c>
      <c r="M68" s="3" t="n">
        <v>0</v>
      </c>
      <c r="N68" s="3" t="n">
        <v>0.339</v>
      </c>
      <c r="O68" s="4">
        <f>ROUND(L68*K68*(1+M68+N68),2)</f>
        <v/>
      </c>
      <c r="P68" t="inlineStr">
        <is>
          <t>Silvia Navarro</t>
        </is>
      </c>
      <c r="Q68" t="inlineStr">
        <is>
          <t>España</t>
        </is>
      </c>
      <c r="R68" t="inlineStr">
        <is>
          <t>Sevilla</t>
        </is>
      </c>
    </row>
    <row r="69">
      <c r="A69" t="inlineStr">
        <is>
          <t>EMP-0068</t>
        </is>
      </c>
      <c r="B69" t="inlineStr">
        <is>
          <t>Marta</t>
        </is>
      </c>
      <c r="C69" t="inlineStr">
        <is>
          <t>Álvarez</t>
        </is>
      </c>
      <c r="D69" t="inlineStr">
        <is>
          <t>RRHH</t>
        </is>
      </c>
      <c r="E69" t="inlineStr">
        <is>
          <t>Employer branding specialist</t>
        </is>
      </c>
      <c r="F69" t="inlineStr">
        <is>
          <t>Mantenimiento intranets</t>
        </is>
      </c>
      <c r="G69" t="inlineStr">
        <is>
          <t>Temporal</t>
        </is>
      </c>
      <c r="H69" s="2" t="n">
        <v>44662</v>
      </c>
      <c r="I69" s="2" t="n"/>
      <c r="J69" t="inlineStr">
        <is>
          <t>Activo</t>
        </is>
      </c>
      <c r="K69" s="3" t="n">
        <v>0.75</v>
      </c>
      <c r="L69" s="4" t="n">
        <v>38230</v>
      </c>
      <c r="M69" s="3" t="n">
        <v>0</v>
      </c>
      <c r="N69" s="3" t="n">
        <v>0.288</v>
      </c>
      <c r="O69" s="4">
        <f>ROUND(L69*K69*(1+M69+N69),2)</f>
        <v/>
      </c>
      <c r="P69" t="inlineStr">
        <is>
          <t>Patricia Romero</t>
        </is>
      </c>
      <c r="Q69" t="inlineStr">
        <is>
          <t>Colombia</t>
        </is>
      </c>
      <c r="R69" t="inlineStr">
        <is>
          <t>Medellín</t>
        </is>
      </c>
    </row>
    <row r="70">
      <c r="A70" t="inlineStr">
        <is>
          <t>EMP-0069</t>
        </is>
      </c>
      <c r="B70" t="inlineStr">
        <is>
          <t>Lucía</t>
        </is>
      </c>
      <c r="C70" t="inlineStr">
        <is>
          <t>Suárez</t>
        </is>
      </c>
      <c r="D70" t="inlineStr">
        <is>
          <t>Redacción</t>
        </is>
      </c>
      <c r="E70" t="inlineStr">
        <is>
          <t>Redactor</t>
        </is>
      </c>
      <c r="F70" t="inlineStr">
        <is>
          <t>Anuncios internet</t>
        </is>
      </c>
      <c r="G70" t="inlineStr">
        <is>
          <t>Indefinido</t>
        </is>
      </c>
      <c r="H70" s="2" t="n">
        <v>43733</v>
      </c>
      <c r="I70" s="2" t="n">
        <v>44455</v>
      </c>
      <c r="J70" t="inlineStr">
        <is>
          <t>Baja</t>
        </is>
      </c>
      <c r="K70" s="3" t="n">
        <v>1</v>
      </c>
      <c r="L70" s="4" t="n">
        <v>42422</v>
      </c>
      <c r="M70" s="3" t="n">
        <v>0.1</v>
      </c>
      <c r="N70" s="3" t="n">
        <v>0.304</v>
      </c>
      <c r="O70" s="4">
        <f>ROUND(L70*K70*(1+M70+N70),2)</f>
        <v/>
      </c>
      <c r="P70" t="inlineStr">
        <is>
          <t>Patricia Romero</t>
        </is>
      </c>
      <c r="Q70" t="inlineStr">
        <is>
          <t>España</t>
        </is>
      </c>
      <c r="R70" t="inlineStr">
        <is>
          <t>Sevilla</t>
        </is>
      </c>
    </row>
    <row r="71">
      <c r="A71" t="inlineStr">
        <is>
          <t>EMP-0070</t>
        </is>
      </c>
      <c r="B71" t="inlineStr">
        <is>
          <t>Eva</t>
        </is>
      </c>
      <c r="C71" t="inlineStr">
        <is>
          <t>Martínez</t>
        </is>
      </c>
      <c r="D71" t="inlineStr">
        <is>
          <t>Atención al cliente</t>
        </is>
      </c>
      <c r="E71" t="inlineStr">
        <is>
          <t>Customer success</t>
        </is>
      </c>
      <c r="F71" t="inlineStr">
        <is>
          <t>Anuncios prensa</t>
        </is>
      </c>
      <c r="G71" t="inlineStr">
        <is>
          <t>Indefinido</t>
        </is>
      </c>
      <c r="H71" s="2" t="n">
        <v>44062</v>
      </c>
      <c r="I71" s="2" t="n"/>
      <c r="J71" t="inlineStr">
        <is>
          <t>Activo</t>
        </is>
      </c>
      <c r="K71" s="3" t="n">
        <v>1</v>
      </c>
      <c r="L71" s="4" t="n">
        <v>29454</v>
      </c>
      <c r="M71" s="3" t="n">
        <v>0.1</v>
      </c>
      <c r="N71" s="3" t="n">
        <v>0.285</v>
      </c>
      <c r="O71" s="4">
        <f>ROUND(L71*K71*(1+M71+N71),2)</f>
        <v/>
      </c>
      <c r="P71" t="inlineStr">
        <is>
          <t>Jorge Molina</t>
        </is>
      </c>
      <c r="Q71" t="inlineStr">
        <is>
          <t>Chile</t>
        </is>
      </c>
      <c r="R71" t="inlineStr">
        <is>
          <t>Santiago</t>
        </is>
      </c>
    </row>
    <row r="72">
      <c r="A72" t="inlineStr">
        <is>
          <t>EMP-0071</t>
        </is>
      </c>
      <c r="B72" t="inlineStr">
        <is>
          <t>Carlos</t>
        </is>
      </c>
      <c r="C72" t="inlineStr">
        <is>
          <t>Martínez</t>
        </is>
      </c>
      <c r="D72" t="inlineStr">
        <is>
          <t>Redacción</t>
        </is>
      </c>
      <c r="E72" t="inlineStr">
        <is>
          <t>Editor</t>
        </is>
      </c>
      <c r="F72" t="inlineStr">
        <is>
          <t>Anuncios internet</t>
        </is>
      </c>
      <c r="G72" t="inlineStr">
        <is>
          <t>Indefinido</t>
        </is>
      </c>
      <c r="H72" s="2" t="n">
        <v>43330</v>
      </c>
      <c r="I72" s="2" t="n"/>
      <c r="J72" t="inlineStr">
        <is>
          <t>Activo</t>
        </is>
      </c>
      <c r="K72" s="3" t="n">
        <v>1</v>
      </c>
      <c r="L72" s="4" t="n">
        <v>36112</v>
      </c>
      <c r="M72" s="3" t="n">
        <v>0</v>
      </c>
      <c r="N72" s="3" t="n">
        <v>0.295</v>
      </c>
      <c r="O72" s="4">
        <f>ROUND(L72*K72*(1+M72+N72),2)</f>
        <v/>
      </c>
      <c r="P72" t="inlineStr">
        <is>
          <t>Silvia Navarro</t>
        </is>
      </c>
      <c r="Q72" t="inlineStr">
        <is>
          <t>España</t>
        </is>
      </c>
      <c r="R72" t="inlineStr">
        <is>
          <t>Valencia</t>
        </is>
      </c>
    </row>
    <row r="73">
      <c r="A73" t="inlineStr">
        <is>
          <t>EMP-0072</t>
        </is>
      </c>
      <c r="B73" t="inlineStr">
        <is>
          <t>Álex</t>
        </is>
      </c>
      <c r="C73" t="inlineStr">
        <is>
          <t>Delgado</t>
        </is>
      </c>
      <c r="D73" t="inlineStr">
        <is>
          <t>Traducción</t>
        </is>
      </c>
      <c r="E73" t="inlineStr">
        <is>
          <t>Localization manager</t>
        </is>
      </c>
      <c r="F73" t="inlineStr">
        <is>
          <t>Publicación de noticias</t>
        </is>
      </c>
      <c r="G73" t="inlineStr">
        <is>
          <t>Indefinido</t>
        </is>
      </c>
      <c r="H73" s="2" t="n">
        <v>45489</v>
      </c>
      <c r="I73" s="2" t="n"/>
      <c r="J73" t="inlineStr">
        <is>
          <t>Activo</t>
        </is>
      </c>
      <c r="K73" s="3" t="n">
        <v>1</v>
      </c>
      <c r="L73" s="4" t="n">
        <v>42902</v>
      </c>
      <c r="M73" s="3" t="n">
        <v>0.03</v>
      </c>
      <c r="N73" s="3" t="n">
        <v>0.308</v>
      </c>
      <c r="O73" s="4">
        <f>ROUND(L73*K73*(1+M73+N73),2)</f>
        <v/>
      </c>
      <c r="P73" t="inlineStr">
        <is>
          <t>Ana Torres</t>
        </is>
      </c>
      <c r="Q73" t="inlineStr">
        <is>
          <t>España</t>
        </is>
      </c>
      <c r="R73" t="inlineStr">
        <is>
          <t>Sevilla</t>
        </is>
      </c>
    </row>
    <row r="74">
      <c r="A74" t="inlineStr">
        <is>
          <t>EMP-0073</t>
        </is>
      </c>
      <c r="B74" t="inlineStr">
        <is>
          <t>Sofía</t>
        </is>
      </c>
      <c r="C74" t="inlineStr">
        <is>
          <t>Torres</t>
        </is>
      </c>
      <c r="D74" t="inlineStr">
        <is>
          <t>Finanzas</t>
        </is>
      </c>
      <c r="E74" t="inlineStr">
        <is>
          <t>Controller</t>
        </is>
      </c>
      <c r="F74" t="inlineStr">
        <is>
          <t>Generación de noticias</t>
        </is>
      </c>
      <c r="G74" t="inlineStr">
        <is>
          <t>Freelance</t>
        </is>
      </c>
      <c r="H74" s="2" t="n">
        <v>45507</v>
      </c>
      <c r="I74" s="2" t="n"/>
      <c r="J74" t="inlineStr">
        <is>
          <t>Activo</t>
        </is>
      </c>
      <c r="K74" s="3" t="n">
        <v>1</v>
      </c>
      <c r="L74" s="4" t="n">
        <v>44620</v>
      </c>
      <c r="M74" s="3" t="n">
        <v>0.03</v>
      </c>
      <c r="N74" s="3" t="n">
        <v>0.307</v>
      </c>
      <c r="O74" s="4">
        <f>ROUND(L74*K74*(1+M74+N74),2)</f>
        <v/>
      </c>
      <c r="P74" t="inlineStr">
        <is>
          <t>Luis Gómez</t>
        </is>
      </c>
      <c r="Q74" t="inlineStr">
        <is>
          <t>Portugal</t>
        </is>
      </c>
      <c r="R74" t="inlineStr">
        <is>
          <t>Lisboa</t>
        </is>
      </c>
    </row>
    <row r="75">
      <c r="A75" t="inlineStr">
        <is>
          <t>EMP-0074</t>
        </is>
      </c>
      <c r="B75" t="inlineStr">
        <is>
          <t>Marina</t>
        </is>
      </c>
      <c r="C75" t="inlineStr">
        <is>
          <t>Romero</t>
        </is>
      </c>
      <c r="D75" t="inlineStr">
        <is>
          <t>RRHH</t>
        </is>
      </c>
      <c r="E75" t="inlineStr">
        <is>
          <t>Employer branding specialist</t>
        </is>
      </c>
      <c r="F75" t="inlineStr">
        <is>
          <t>Anuncios internet</t>
        </is>
      </c>
      <c r="G75" t="inlineStr">
        <is>
          <t>Indefinido</t>
        </is>
      </c>
      <c r="H75" s="2" t="n">
        <v>44310</v>
      </c>
      <c r="I75" s="2" t="n">
        <v>45300</v>
      </c>
      <c r="J75" t="inlineStr">
        <is>
          <t>Baja</t>
        </is>
      </c>
      <c r="K75" s="3" t="n">
        <v>1</v>
      </c>
      <c r="L75" s="4" t="n">
        <v>22265</v>
      </c>
      <c r="M75" s="3" t="n">
        <v>0.08</v>
      </c>
      <c r="N75" s="3" t="n">
        <v>0.332</v>
      </c>
      <c r="O75" s="4">
        <f>ROUND(L75*K75*(1+M75+N75),2)</f>
        <v/>
      </c>
      <c r="P75" t="inlineStr">
        <is>
          <t>Ana Torres</t>
        </is>
      </c>
      <c r="Q75" t="inlineStr">
        <is>
          <t>España</t>
        </is>
      </c>
      <c r="R75" t="inlineStr">
        <is>
          <t>Sevilla</t>
        </is>
      </c>
    </row>
    <row r="76">
      <c r="A76" t="inlineStr">
        <is>
          <t>EMP-0075</t>
        </is>
      </c>
      <c r="B76" t="inlineStr">
        <is>
          <t>Cristina</t>
        </is>
      </c>
      <c r="C76" t="inlineStr">
        <is>
          <t>Blanco</t>
        </is>
      </c>
      <c r="D76" t="inlineStr">
        <is>
          <t>Finanzas</t>
        </is>
      </c>
      <c r="E76" t="inlineStr">
        <is>
          <t>Técnico de facturación</t>
        </is>
      </c>
      <c r="F76" t="inlineStr">
        <is>
          <t>Generación de noticias</t>
        </is>
      </c>
      <c r="G76" t="inlineStr">
        <is>
          <t>Indefinido</t>
        </is>
      </c>
      <c r="H76" s="2" t="n">
        <v>43879</v>
      </c>
      <c r="I76" s="2" t="n"/>
      <c r="J76" t="inlineStr">
        <is>
          <t>Activo</t>
        </is>
      </c>
      <c r="K76" s="3" t="n">
        <v>0.75</v>
      </c>
      <c r="L76" s="4" t="n">
        <v>42586</v>
      </c>
      <c r="M76" s="3" t="n">
        <v>0</v>
      </c>
      <c r="N76" s="3" t="n">
        <v>0.334</v>
      </c>
      <c r="O76" s="4">
        <f>ROUND(L76*K76*(1+M76+N76),2)</f>
        <v/>
      </c>
      <c r="P76" t="inlineStr">
        <is>
          <t>Ana Torres</t>
        </is>
      </c>
      <c r="Q76" t="inlineStr">
        <is>
          <t>México</t>
        </is>
      </c>
      <c r="R76" t="inlineStr">
        <is>
          <t>Ciudad de México</t>
        </is>
      </c>
    </row>
    <row r="77">
      <c r="A77" t="inlineStr">
        <is>
          <t>EMP-0076</t>
        </is>
      </c>
      <c r="B77" t="inlineStr">
        <is>
          <t>Carmen</t>
        </is>
      </c>
      <c r="C77" t="inlineStr">
        <is>
          <t>López</t>
        </is>
      </c>
      <c r="D77" t="inlineStr">
        <is>
          <t>Comercial</t>
        </is>
      </c>
      <c r="E77" t="inlineStr">
        <is>
          <t>Sales manager</t>
        </is>
      </c>
      <c r="F77" t="inlineStr">
        <is>
          <t>Anuncios internet</t>
        </is>
      </c>
      <c r="G77" t="inlineStr">
        <is>
          <t>Freelance</t>
        </is>
      </c>
      <c r="H77" s="2" t="n">
        <v>44439</v>
      </c>
      <c r="I77" s="2" t="n"/>
      <c r="J77" t="inlineStr">
        <is>
          <t>Activo</t>
        </is>
      </c>
      <c r="K77" s="3" t="n">
        <v>0.75</v>
      </c>
      <c r="L77" s="4" t="n">
        <v>33661</v>
      </c>
      <c r="M77" s="3" t="n">
        <v>0.12</v>
      </c>
      <c r="N77" s="3" t="n">
        <v>0.312</v>
      </c>
      <c r="O77" s="4">
        <f>ROUND(L77*K77*(1+M77+N77),2)</f>
        <v/>
      </c>
      <c r="P77" t="inlineStr">
        <is>
          <t>Silvia Navarro</t>
        </is>
      </c>
      <c r="Q77" t="inlineStr">
        <is>
          <t>España</t>
        </is>
      </c>
      <c r="R77" t="inlineStr">
        <is>
          <t>Valencia</t>
        </is>
      </c>
    </row>
    <row r="78">
      <c r="A78" t="inlineStr">
        <is>
          <t>EMP-0077</t>
        </is>
      </c>
      <c r="B78" t="inlineStr">
        <is>
          <t>Beatriz</t>
        </is>
      </c>
      <c r="C78" t="inlineStr">
        <is>
          <t>Blanco</t>
        </is>
      </c>
      <c r="D78" t="inlineStr">
        <is>
          <t>Atención al cliente</t>
        </is>
      </c>
      <c r="E78" t="inlineStr">
        <is>
          <t>Customer success</t>
        </is>
      </c>
      <c r="F78" t="inlineStr">
        <is>
          <t>Generación de noticias</t>
        </is>
      </c>
      <c r="G78" t="inlineStr">
        <is>
          <t>Indefinido</t>
        </is>
      </c>
      <c r="H78" s="2" t="n">
        <v>44488</v>
      </c>
      <c r="I78" s="2" t="n"/>
      <c r="J78" t="inlineStr">
        <is>
          <t>Activo</t>
        </is>
      </c>
      <c r="K78" s="3" t="n">
        <v>1</v>
      </c>
      <c r="L78" s="4" t="n">
        <v>24467</v>
      </c>
      <c r="M78" s="3" t="n">
        <v>0</v>
      </c>
      <c r="N78" s="3" t="n">
        <v>0.325</v>
      </c>
      <c r="O78" s="4">
        <f>ROUND(L78*K78*(1+M78+N78),2)</f>
        <v/>
      </c>
      <c r="P78" t="inlineStr">
        <is>
          <t>Jorge Molina</t>
        </is>
      </c>
      <c r="Q78" t="inlineStr">
        <is>
          <t>Colombia</t>
        </is>
      </c>
      <c r="R78" t="inlineStr">
        <is>
          <t>Medellín</t>
        </is>
      </c>
    </row>
    <row r="79">
      <c r="A79" t="inlineStr">
        <is>
          <t>EMP-0078</t>
        </is>
      </c>
      <c r="B79" t="inlineStr">
        <is>
          <t>Lucía</t>
        </is>
      </c>
      <c r="C79" t="inlineStr">
        <is>
          <t>Díaz</t>
        </is>
      </c>
      <c r="D79" t="inlineStr">
        <is>
          <t>RRHH</t>
        </is>
      </c>
      <c r="E79" t="inlineStr">
        <is>
          <t>Recruitment marketer</t>
        </is>
      </c>
      <c r="F79" t="inlineStr">
        <is>
          <t>Anuncios TV</t>
        </is>
      </c>
      <c r="G79" t="inlineStr">
        <is>
          <t>Indefinido</t>
        </is>
      </c>
      <c r="H79" s="2" t="n">
        <v>44963</v>
      </c>
      <c r="I79" s="2" t="n"/>
      <c r="J79" t="inlineStr">
        <is>
          <t>Activo</t>
        </is>
      </c>
      <c r="K79" s="3" t="n">
        <v>1</v>
      </c>
      <c r="L79" s="4" t="n">
        <v>41154</v>
      </c>
      <c r="M79" s="3" t="n">
        <v>0.05</v>
      </c>
      <c r="N79" s="3" t="n">
        <v>0.329</v>
      </c>
      <c r="O79" s="4">
        <f>ROUND(L79*K79*(1+M79+N79),2)</f>
        <v/>
      </c>
      <c r="P79" t="inlineStr">
        <is>
          <t>Ana Torres</t>
        </is>
      </c>
      <c r="Q79" t="inlineStr">
        <is>
          <t>España</t>
        </is>
      </c>
      <c r="R79" t="inlineStr">
        <is>
          <t>Sevilla</t>
        </is>
      </c>
    </row>
    <row r="80">
      <c r="A80" t="inlineStr">
        <is>
          <t>EMP-0079</t>
        </is>
      </c>
      <c r="B80" t="inlineStr">
        <is>
          <t>Álex</t>
        </is>
      </c>
      <c r="C80" t="inlineStr">
        <is>
          <t>Ruiz</t>
        </is>
      </c>
      <c r="D80" t="inlineStr">
        <is>
          <t>Tecnología</t>
        </is>
      </c>
      <c r="E80" t="inlineStr">
        <is>
          <t>Desarrollador web</t>
        </is>
      </c>
      <c r="F80" t="inlineStr">
        <is>
          <t>Anuncios internet</t>
        </is>
      </c>
      <c r="G80" t="inlineStr">
        <is>
          <t>Indefinido</t>
        </is>
      </c>
      <c r="H80" s="2" t="n">
        <v>45002</v>
      </c>
      <c r="I80" s="2" t="n"/>
      <c r="J80" t="inlineStr">
        <is>
          <t>Activo</t>
        </is>
      </c>
      <c r="K80" s="3" t="n">
        <v>1</v>
      </c>
      <c r="L80" s="4" t="n">
        <v>50618</v>
      </c>
      <c r="M80" s="3" t="n">
        <v>0</v>
      </c>
      <c r="N80" s="3" t="n">
        <v>0.288</v>
      </c>
      <c r="O80" s="4">
        <f>ROUND(L80*K80*(1+M80+N80),2)</f>
        <v/>
      </c>
      <c r="P80" t="inlineStr">
        <is>
          <t>Patricia Romero</t>
        </is>
      </c>
      <c r="Q80" t="inlineStr">
        <is>
          <t>España</t>
        </is>
      </c>
      <c r="R80" t="inlineStr">
        <is>
          <t>Valencia</t>
        </is>
      </c>
    </row>
    <row r="81">
      <c r="A81" t="inlineStr">
        <is>
          <t>EMP-0080</t>
        </is>
      </c>
      <c r="B81" t="inlineStr">
        <is>
          <t>Andrea</t>
        </is>
      </c>
      <c r="C81" t="inlineStr">
        <is>
          <t>Torres</t>
        </is>
      </c>
      <c r="D81" t="inlineStr">
        <is>
          <t>Finanzas</t>
        </is>
      </c>
      <c r="E81" t="inlineStr">
        <is>
          <t>Controller</t>
        </is>
      </c>
      <c r="F81" t="inlineStr">
        <is>
          <t>Traducciones</t>
        </is>
      </c>
      <c r="G81" t="inlineStr">
        <is>
          <t>Indefinido</t>
        </is>
      </c>
      <c r="H81" s="2" t="n">
        <v>45313</v>
      </c>
      <c r="I81" s="2" t="n"/>
      <c r="J81" t="inlineStr">
        <is>
          <t>Activo</t>
        </is>
      </c>
      <c r="K81" s="3" t="n">
        <v>0.75</v>
      </c>
      <c r="L81" s="4" t="n">
        <v>51013</v>
      </c>
      <c r="M81" s="3" t="n">
        <v>0.05</v>
      </c>
      <c r="N81" s="3" t="n">
        <v>0.319</v>
      </c>
      <c r="O81" s="4">
        <f>ROUND(L81*K81*(1+M81+N81),2)</f>
        <v/>
      </c>
      <c r="P81" t="inlineStr">
        <is>
          <t>Silvia Navarro</t>
        </is>
      </c>
      <c r="Q81" t="inlineStr">
        <is>
          <t>España</t>
        </is>
      </c>
      <c r="R81" t="inlineStr">
        <is>
          <t>Barcelona</t>
        </is>
      </c>
    </row>
    <row r="82">
      <c r="A82" t="inlineStr">
        <is>
          <t>EMP-0081</t>
        </is>
      </c>
      <c r="B82" t="inlineStr">
        <is>
          <t>Miguel</t>
        </is>
      </c>
      <c r="C82" t="inlineStr">
        <is>
          <t>Torres</t>
        </is>
      </c>
      <c r="D82" t="inlineStr">
        <is>
          <t>RRHH</t>
        </is>
      </c>
      <c r="E82" t="inlineStr">
        <is>
          <t>Employer branding specialist</t>
        </is>
      </c>
      <c r="F82" t="inlineStr">
        <is>
          <t>Generación de noticias</t>
        </is>
      </c>
      <c r="G82" t="inlineStr">
        <is>
          <t>Indefinido</t>
        </is>
      </c>
      <c r="H82" s="2" t="n">
        <v>44068</v>
      </c>
      <c r="I82" s="2" t="n"/>
      <c r="J82" t="inlineStr">
        <is>
          <t>Activo</t>
        </is>
      </c>
      <c r="K82" s="3" t="n">
        <v>0.5</v>
      </c>
      <c r="L82" s="4" t="n">
        <v>44468</v>
      </c>
      <c r="M82" s="3" t="n">
        <v>0.03</v>
      </c>
      <c r="N82" s="3" t="n">
        <v>0.313</v>
      </c>
      <c r="O82" s="4">
        <f>ROUND(L82*K82*(1+M82+N82),2)</f>
        <v/>
      </c>
      <c r="P82" t="inlineStr">
        <is>
          <t>Patricia Romero</t>
        </is>
      </c>
      <c r="Q82" t="inlineStr">
        <is>
          <t>España</t>
        </is>
      </c>
      <c r="R82" t="inlineStr">
        <is>
          <t>Valencia</t>
        </is>
      </c>
    </row>
    <row r="83">
      <c r="A83" t="inlineStr">
        <is>
          <t>EMP-0082</t>
        </is>
      </c>
      <c r="B83" t="inlineStr">
        <is>
          <t>Óscar</t>
        </is>
      </c>
      <c r="C83" t="inlineStr">
        <is>
          <t>López</t>
        </is>
      </c>
      <c r="D83" t="inlineStr">
        <is>
          <t>Operaciones</t>
        </is>
      </c>
      <c r="E83" t="inlineStr">
        <is>
          <t>Coordinador de operaciones</t>
        </is>
      </c>
      <c r="F83" t="inlineStr">
        <is>
          <t>Anuncios prensa</t>
        </is>
      </c>
      <c r="G83" t="inlineStr">
        <is>
          <t>Indefinido</t>
        </is>
      </c>
      <c r="H83" s="2" t="n">
        <v>45546</v>
      </c>
      <c r="I83" s="2" t="n"/>
      <c r="J83" t="inlineStr">
        <is>
          <t>Activo</t>
        </is>
      </c>
      <c r="K83" s="3" t="n">
        <v>0.5</v>
      </c>
      <c r="L83" s="4" t="n">
        <v>47781</v>
      </c>
      <c r="M83" s="3" t="n">
        <v>0.03</v>
      </c>
      <c r="N83" s="3" t="n">
        <v>0.295</v>
      </c>
      <c r="O83" s="4">
        <f>ROUND(L83*K83*(1+M83+N83),2)</f>
        <v/>
      </c>
      <c r="P83" t="inlineStr">
        <is>
          <t>Silvia Navarro</t>
        </is>
      </c>
      <c r="Q83" t="inlineStr">
        <is>
          <t>España</t>
        </is>
      </c>
      <c r="R83" t="inlineStr">
        <is>
          <t>Madrid</t>
        </is>
      </c>
    </row>
    <row r="84">
      <c r="A84" t="inlineStr">
        <is>
          <t>EMP-0083</t>
        </is>
      </c>
      <c r="B84" t="inlineStr">
        <is>
          <t>Joel</t>
        </is>
      </c>
      <c r="C84" t="inlineStr">
        <is>
          <t>Fernández</t>
        </is>
      </c>
      <c r="D84" t="inlineStr">
        <is>
          <t>Tecnología</t>
        </is>
      </c>
      <c r="E84" t="inlineStr">
        <is>
          <t>Desarrollador web</t>
        </is>
      </c>
      <c r="F84" t="inlineStr">
        <is>
          <t>Traducciones</t>
        </is>
      </c>
      <c r="G84" t="inlineStr">
        <is>
          <t>Temporal</t>
        </is>
      </c>
      <c r="H84" s="2" t="n">
        <v>44055</v>
      </c>
      <c r="I84" s="2" t="n"/>
      <c r="J84" t="inlineStr">
        <is>
          <t>Activo</t>
        </is>
      </c>
      <c r="K84" s="3" t="n">
        <v>0.75</v>
      </c>
      <c r="L84" s="4" t="n">
        <v>59219</v>
      </c>
      <c r="M84" s="3" t="n">
        <v>0.08</v>
      </c>
      <c r="N84" s="3" t="n">
        <v>0.28</v>
      </c>
      <c r="O84" s="4">
        <f>ROUND(L84*K84*(1+M84+N84),2)</f>
        <v/>
      </c>
      <c r="P84" t="inlineStr">
        <is>
          <t>Luis Gómez</t>
        </is>
      </c>
      <c r="Q84" t="inlineStr">
        <is>
          <t>México</t>
        </is>
      </c>
      <c r="R84" t="inlineStr">
        <is>
          <t>Ciudad de México</t>
        </is>
      </c>
    </row>
    <row r="85">
      <c r="A85" t="inlineStr">
        <is>
          <t>EMP-0084</t>
        </is>
      </c>
      <c r="B85" t="inlineStr">
        <is>
          <t>Carlos</t>
        </is>
      </c>
      <c r="C85" t="inlineStr">
        <is>
          <t>Pérez</t>
        </is>
      </c>
      <c r="D85" t="inlineStr">
        <is>
          <t>Atención al cliente</t>
        </is>
      </c>
      <c r="E85" t="inlineStr">
        <is>
          <t>Account support</t>
        </is>
      </c>
      <c r="F85" t="inlineStr">
        <is>
          <t>Generación de noticias</t>
        </is>
      </c>
      <c r="G85" t="inlineStr">
        <is>
          <t>Indefinido</t>
        </is>
      </c>
      <c r="H85" s="2" t="n">
        <v>44075</v>
      </c>
      <c r="I85" s="2" t="n"/>
      <c r="J85" t="inlineStr">
        <is>
          <t>Activo</t>
        </is>
      </c>
      <c r="K85" s="3" t="n">
        <v>0.5</v>
      </c>
      <c r="L85" s="4" t="n">
        <v>27709</v>
      </c>
      <c r="M85" s="3" t="n">
        <v>0.03</v>
      </c>
      <c r="N85" s="3" t="n">
        <v>0.283</v>
      </c>
      <c r="O85" s="4">
        <f>ROUND(L85*K85*(1+M85+N85),2)</f>
        <v/>
      </c>
      <c r="P85" t="inlineStr">
        <is>
          <t>Fernando Ruiz</t>
        </is>
      </c>
      <c r="Q85" t="inlineStr">
        <is>
          <t>México</t>
        </is>
      </c>
      <c r="R85" t="inlineStr">
        <is>
          <t>Ciudad de México</t>
        </is>
      </c>
    </row>
    <row r="86">
      <c r="A86" t="inlineStr">
        <is>
          <t>EMP-0085</t>
        </is>
      </c>
      <c r="B86" t="inlineStr">
        <is>
          <t>Sara</t>
        </is>
      </c>
      <c r="C86" t="inlineStr">
        <is>
          <t>Molina</t>
        </is>
      </c>
      <c r="D86" t="inlineStr">
        <is>
          <t>Atención al cliente</t>
        </is>
      </c>
      <c r="E86" t="inlineStr">
        <is>
          <t>Account support</t>
        </is>
      </c>
      <c r="F86" t="inlineStr">
        <is>
          <t>Traducciones</t>
        </is>
      </c>
      <c r="G86" t="inlineStr">
        <is>
          <t>Indefinido</t>
        </is>
      </c>
      <c r="H86" s="2" t="n">
        <v>45532</v>
      </c>
      <c r="I86" s="2" t="n"/>
      <c r="J86" t="inlineStr">
        <is>
          <t>Activo</t>
        </is>
      </c>
      <c r="K86" s="3" t="n">
        <v>1</v>
      </c>
      <c r="L86" s="4" t="n">
        <v>29259</v>
      </c>
      <c r="M86" s="3" t="n">
        <v>0.08</v>
      </c>
      <c r="N86" s="3" t="n">
        <v>0.283</v>
      </c>
      <c r="O86" s="4">
        <f>ROUND(L86*K86*(1+M86+N86),2)</f>
        <v/>
      </c>
      <c r="P86" t="inlineStr">
        <is>
          <t>Silvia Navarro</t>
        </is>
      </c>
      <c r="Q86" t="inlineStr">
        <is>
          <t>México</t>
        </is>
      </c>
      <c r="R86" t="inlineStr">
        <is>
          <t>Guadalajara</t>
        </is>
      </c>
    </row>
    <row r="87">
      <c r="A87" t="inlineStr">
        <is>
          <t>EMP-0086</t>
        </is>
      </c>
      <c r="B87" t="inlineStr">
        <is>
          <t>Javier</t>
        </is>
      </c>
      <c r="C87" t="inlineStr">
        <is>
          <t>Domínguez</t>
        </is>
      </c>
      <c r="D87" t="inlineStr">
        <is>
          <t>Comercial</t>
        </is>
      </c>
      <c r="E87" t="inlineStr">
        <is>
          <t>Ejecutivo de cuentas</t>
        </is>
      </c>
      <c r="F87" t="inlineStr">
        <is>
          <t>Anuncios internet</t>
        </is>
      </c>
      <c r="G87" t="inlineStr">
        <is>
          <t>Temporal</t>
        </is>
      </c>
      <c r="H87" s="2" t="n">
        <v>44847</v>
      </c>
      <c r="I87" s="2" t="n"/>
      <c r="J87" t="inlineStr">
        <is>
          <t>Activo</t>
        </is>
      </c>
      <c r="K87" s="3" t="n">
        <v>1</v>
      </c>
      <c r="L87" s="4" t="n">
        <v>56795</v>
      </c>
      <c r="M87" s="3" t="n">
        <v>0.05</v>
      </c>
      <c r="N87" s="3" t="n">
        <v>0.284</v>
      </c>
      <c r="O87" s="4">
        <f>ROUND(L87*K87*(1+M87+N87),2)</f>
        <v/>
      </c>
      <c r="P87" t="inlineStr">
        <is>
          <t>Patricia Romero</t>
        </is>
      </c>
      <c r="Q87" t="inlineStr">
        <is>
          <t>Portugal</t>
        </is>
      </c>
      <c r="R87" t="inlineStr">
        <is>
          <t>Lisboa</t>
        </is>
      </c>
    </row>
    <row r="88">
      <c r="A88" t="inlineStr">
        <is>
          <t>EMP-0087</t>
        </is>
      </c>
      <c r="B88" t="inlineStr">
        <is>
          <t>Andrea</t>
        </is>
      </c>
      <c r="C88" t="inlineStr">
        <is>
          <t>Serrano</t>
        </is>
      </c>
      <c r="D88" t="inlineStr">
        <is>
          <t>Traducción</t>
        </is>
      </c>
      <c r="E88" t="inlineStr">
        <is>
          <t>Localization manager</t>
        </is>
      </c>
      <c r="F88" t="inlineStr">
        <is>
          <t>Traducciones</t>
        </is>
      </c>
      <c r="G88" t="inlineStr">
        <is>
          <t>Indefinido</t>
        </is>
      </c>
      <c r="H88" s="2" t="n">
        <v>44959</v>
      </c>
      <c r="I88" s="2" t="n"/>
      <c r="J88" t="inlineStr">
        <is>
          <t>Activo</t>
        </is>
      </c>
      <c r="K88" s="3" t="n">
        <v>1</v>
      </c>
      <c r="L88" s="4" t="n">
        <v>25249</v>
      </c>
      <c r="M88" s="3" t="n">
        <v>0.12</v>
      </c>
      <c r="N88" s="3" t="n">
        <v>0.322</v>
      </c>
      <c r="O88" s="4">
        <f>ROUND(L88*K88*(1+M88+N88),2)</f>
        <v/>
      </c>
      <c r="P88" t="inlineStr">
        <is>
          <t>Jorge Molina</t>
        </is>
      </c>
      <c r="Q88" t="inlineStr">
        <is>
          <t>España</t>
        </is>
      </c>
      <c r="R88" t="inlineStr">
        <is>
          <t>Valencia</t>
        </is>
      </c>
    </row>
    <row r="89">
      <c r="A89" t="inlineStr">
        <is>
          <t>EMP-0088</t>
        </is>
      </c>
      <c r="B89" t="inlineStr">
        <is>
          <t>Nuria</t>
        </is>
      </c>
      <c r="C89" t="inlineStr">
        <is>
          <t>Álvarez</t>
        </is>
      </c>
      <c r="D89" t="inlineStr">
        <is>
          <t>Atención al cliente</t>
        </is>
      </c>
      <c r="E89" t="inlineStr">
        <is>
          <t>Soporte cliente</t>
        </is>
      </c>
      <c r="F89" t="inlineStr">
        <is>
          <t>Mantenimiento intranets</t>
        </is>
      </c>
      <c r="G89" t="inlineStr">
        <is>
          <t>Temporal</t>
        </is>
      </c>
      <c r="H89" s="2" t="n">
        <v>44734</v>
      </c>
      <c r="I89" s="2" t="n"/>
      <c r="J89" t="inlineStr">
        <is>
          <t>Activo</t>
        </is>
      </c>
      <c r="K89" s="3" t="n">
        <v>0.5</v>
      </c>
      <c r="L89" s="4" t="n">
        <v>32241</v>
      </c>
      <c r="M89" s="3" t="n">
        <v>0.05</v>
      </c>
      <c r="N89" s="3" t="n">
        <v>0.299</v>
      </c>
      <c r="O89" s="4">
        <f>ROUND(L89*K89*(1+M89+N89),2)</f>
        <v/>
      </c>
      <c r="P89" t="inlineStr">
        <is>
          <t>Patricia Romero</t>
        </is>
      </c>
      <c r="Q89" t="inlineStr">
        <is>
          <t>España</t>
        </is>
      </c>
      <c r="R89" t="inlineStr">
        <is>
          <t>Barcelona</t>
        </is>
      </c>
    </row>
    <row r="90">
      <c r="A90" t="inlineStr">
        <is>
          <t>EMP-0089</t>
        </is>
      </c>
      <c r="B90" t="inlineStr">
        <is>
          <t>Daniel</t>
        </is>
      </c>
      <c r="C90" t="inlineStr">
        <is>
          <t>Navarro</t>
        </is>
      </c>
      <c r="D90" t="inlineStr">
        <is>
          <t>Traducción</t>
        </is>
      </c>
      <c r="E90" t="inlineStr">
        <is>
          <t>Localization manager</t>
        </is>
      </c>
      <c r="F90" t="inlineStr">
        <is>
          <t>Anuncios internet</t>
        </is>
      </c>
      <c r="G90" t="inlineStr">
        <is>
          <t>Indefinido</t>
        </is>
      </c>
      <c r="H90" s="2" t="n">
        <v>44627</v>
      </c>
      <c r="I90" s="2" t="n"/>
      <c r="J90" t="inlineStr">
        <is>
          <t>Activo</t>
        </is>
      </c>
      <c r="K90" s="3" t="n">
        <v>1</v>
      </c>
      <c r="L90" s="4" t="n">
        <v>23965</v>
      </c>
      <c r="M90" s="3" t="n">
        <v>0.08</v>
      </c>
      <c r="N90" s="3" t="n">
        <v>0.337</v>
      </c>
      <c r="O90" s="4">
        <f>ROUND(L90*K90*(1+M90+N90),2)</f>
        <v/>
      </c>
      <c r="P90" t="inlineStr">
        <is>
          <t>Patricia Romero</t>
        </is>
      </c>
      <c r="Q90" t="inlineStr">
        <is>
          <t>España</t>
        </is>
      </c>
      <c r="R90" t="inlineStr">
        <is>
          <t>Madrid</t>
        </is>
      </c>
    </row>
    <row r="91">
      <c r="A91" t="inlineStr">
        <is>
          <t>EMP-0090</t>
        </is>
      </c>
      <c r="B91" t="inlineStr">
        <is>
          <t>Javier</t>
        </is>
      </c>
      <c r="C91" t="inlineStr">
        <is>
          <t>Moreno</t>
        </is>
      </c>
      <c r="D91" t="inlineStr">
        <is>
          <t>Redacción</t>
        </is>
      </c>
      <c r="E91" t="inlineStr">
        <is>
          <t>Redactor</t>
        </is>
      </c>
      <c r="F91" t="inlineStr">
        <is>
          <t>Anuncios prensa</t>
        </is>
      </c>
      <c r="G91" t="inlineStr">
        <is>
          <t>Indefinido</t>
        </is>
      </c>
      <c r="H91" s="2" t="n">
        <v>44541</v>
      </c>
      <c r="I91" s="2" t="n"/>
      <c r="J91" t="inlineStr">
        <is>
          <t>Activo</t>
        </is>
      </c>
      <c r="K91" s="3" t="n">
        <v>1</v>
      </c>
      <c r="L91" s="4" t="n">
        <v>28971</v>
      </c>
      <c r="M91" s="3" t="n">
        <v>0</v>
      </c>
      <c r="N91" s="3" t="n">
        <v>0.319</v>
      </c>
      <c r="O91" s="4">
        <f>ROUND(L91*K91*(1+M91+N91),2)</f>
        <v/>
      </c>
      <c r="P91" t="inlineStr">
        <is>
          <t>Ana Torres</t>
        </is>
      </c>
      <c r="Q91" t="inlineStr">
        <is>
          <t>España</t>
        </is>
      </c>
      <c r="R91" t="inlineStr">
        <is>
          <t>Sevilla</t>
        </is>
      </c>
    </row>
    <row r="92">
      <c r="A92" t="inlineStr">
        <is>
          <t>EMP-0091</t>
        </is>
      </c>
      <c r="B92" t="inlineStr">
        <is>
          <t>Marina</t>
        </is>
      </c>
      <c r="C92" t="inlineStr">
        <is>
          <t>Ruiz</t>
        </is>
      </c>
      <c r="D92" t="inlineStr">
        <is>
          <t>Marketing</t>
        </is>
      </c>
      <c r="E92" t="inlineStr">
        <is>
          <t>Campaign manager</t>
        </is>
      </c>
      <c r="F92" t="inlineStr">
        <is>
          <t>Anuncios TV</t>
        </is>
      </c>
      <c r="G92" t="inlineStr">
        <is>
          <t>Temporal</t>
        </is>
      </c>
      <c r="H92" s="2" t="n">
        <v>45398</v>
      </c>
      <c r="I92" s="2" t="n"/>
      <c r="J92" t="inlineStr">
        <is>
          <t>Activo</t>
        </is>
      </c>
      <c r="K92" s="3" t="n">
        <v>1</v>
      </c>
      <c r="L92" s="4" t="n">
        <v>51634</v>
      </c>
      <c r="M92" s="3" t="n">
        <v>0.1</v>
      </c>
      <c r="N92" s="3" t="n">
        <v>0.313</v>
      </c>
      <c r="O92" s="4">
        <f>ROUND(L92*K92*(1+M92+N92),2)</f>
        <v/>
      </c>
      <c r="P92" t="inlineStr">
        <is>
          <t>Jorge Molina</t>
        </is>
      </c>
      <c r="Q92" t="inlineStr">
        <is>
          <t>España</t>
        </is>
      </c>
      <c r="R92" t="inlineStr">
        <is>
          <t>Valencia</t>
        </is>
      </c>
    </row>
    <row r="93">
      <c r="A93" t="inlineStr">
        <is>
          <t>EMP-0092</t>
        </is>
      </c>
      <c r="B93" t="inlineStr">
        <is>
          <t>Marcos</t>
        </is>
      </c>
      <c r="C93" t="inlineStr">
        <is>
          <t>Romero</t>
        </is>
      </c>
      <c r="D93" t="inlineStr">
        <is>
          <t>Comercial</t>
        </is>
      </c>
      <c r="E93" t="inlineStr">
        <is>
          <t>Ejecutivo de cuentas</t>
        </is>
      </c>
      <c r="F93" t="inlineStr">
        <is>
          <t>Mantenimiento web</t>
        </is>
      </c>
      <c r="G93" t="inlineStr">
        <is>
          <t>Indefinido</t>
        </is>
      </c>
      <c r="H93" s="2" t="n">
        <v>43687</v>
      </c>
      <c r="I93" s="2" t="n"/>
      <c r="J93" t="inlineStr">
        <is>
          <t>Activo</t>
        </is>
      </c>
      <c r="K93" s="3" t="n">
        <v>1</v>
      </c>
      <c r="L93" s="4" t="n">
        <v>29442</v>
      </c>
      <c r="M93" s="3" t="n">
        <v>0.1</v>
      </c>
      <c r="N93" s="3" t="n">
        <v>0.318</v>
      </c>
      <c r="O93" s="4">
        <f>ROUND(L93*K93*(1+M93+N93),2)</f>
        <v/>
      </c>
      <c r="P93" t="inlineStr">
        <is>
          <t>Ana Torres</t>
        </is>
      </c>
      <c r="Q93" t="inlineStr">
        <is>
          <t>España</t>
        </is>
      </c>
      <c r="R93" t="inlineStr">
        <is>
          <t>Valencia</t>
        </is>
      </c>
    </row>
    <row r="94">
      <c r="A94" t="inlineStr">
        <is>
          <t>EMP-0093</t>
        </is>
      </c>
      <c r="B94" t="inlineStr">
        <is>
          <t>Marcos</t>
        </is>
      </c>
      <c r="C94" t="inlineStr">
        <is>
          <t>Gómez</t>
        </is>
      </c>
      <c r="D94" t="inlineStr">
        <is>
          <t>Atención al cliente</t>
        </is>
      </c>
      <c r="E94" t="inlineStr">
        <is>
          <t>Customer success</t>
        </is>
      </c>
      <c r="F94" t="inlineStr">
        <is>
          <t>Mantenimiento intranets</t>
        </is>
      </c>
      <c r="G94" t="inlineStr">
        <is>
          <t>Indefinido</t>
        </is>
      </c>
      <c r="H94" s="2" t="n">
        <v>44429</v>
      </c>
      <c r="I94" s="2" t="n"/>
      <c r="J94" t="inlineStr">
        <is>
          <t>Activo</t>
        </is>
      </c>
      <c r="K94" s="3" t="n">
        <v>1</v>
      </c>
      <c r="L94" s="4" t="n">
        <v>41537</v>
      </c>
      <c r="M94" s="3" t="n">
        <v>0</v>
      </c>
      <c r="N94" s="3" t="n">
        <v>0.333</v>
      </c>
      <c r="O94" s="4">
        <f>ROUND(L94*K94*(1+M94+N94),2)</f>
        <v/>
      </c>
      <c r="P94" t="inlineStr">
        <is>
          <t>Luis Gómez</t>
        </is>
      </c>
      <c r="Q94" t="inlineStr">
        <is>
          <t>España</t>
        </is>
      </c>
      <c r="R94" t="inlineStr">
        <is>
          <t>Sevilla</t>
        </is>
      </c>
    </row>
    <row r="95">
      <c r="A95" t="inlineStr">
        <is>
          <t>EMP-0094</t>
        </is>
      </c>
      <c r="B95" t="inlineStr">
        <is>
          <t>Iván</t>
        </is>
      </c>
      <c r="C95" t="inlineStr">
        <is>
          <t>Serrano</t>
        </is>
      </c>
      <c r="D95" t="inlineStr">
        <is>
          <t>Operaciones</t>
        </is>
      </c>
      <c r="E95" t="inlineStr">
        <is>
          <t>Especialista de cuentas</t>
        </is>
      </c>
      <c r="F95" t="inlineStr">
        <is>
          <t>Traducciones</t>
        </is>
      </c>
      <c r="G95" t="inlineStr">
        <is>
          <t>Indefinido</t>
        </is>
      </c>
      <c r="H95" s="2" t="n">
        <v>44219</v>
      </c>
      <c r="I95" s="2" t="n"/>
      <c r="J95" t="inlineStr">
        <is>
          <t>Activo</t>
        </is>
      </c>
      <c r="K95" s="3" t="n">
        <v>1</v>
      </c>
      <c r="L95" s="4" t="n">
        <v>25729</v>
      </c>
      <c r="M95" s="3" t="n">
        <v>0.03</v>
      </c>
      <c r="N95" s="3" t="n">
        <v>0.306</v>
      </c>
      <c r="O95" s="4">
        <f>ROUND(L95*K95*(1+M95+N95),2)</f>
        <v/>
      </c>
      <c r="P95" t="inlineStr">
        <is>
          <t>Jorge Molina</t>
        </is>
      </c>
      <c r="Q95" t="inlineStr">
        <is>
          <t>España</t>
        </is>
      </c>
      <c r="R95" t="inlineStr">
        <is>
          <t>Sevilla</t>
        </is>
      </c>
    </row>
    <row r="96">
      <c r="A96" t="inlineStr">
        <is>
          <t>EMP-0095</t>
        </is>
      </c>
      <c r="B96" t="inlineStr">
        <is>
          <t>Irene</t>
        </is>
      </c>
      <c r="C96" t="inlineStr">
        <is>
          <t>Alonso</t>
        </is>
      </c>
      <c r="D96" t="inlineStr">
        <is>
          <t>Finanzas</t>
        </is>
      </c>
      <c r="E96" t="inlineStr">
        <is>
          <t>Controller</t>
        </is>
      </c>
      <c r="F96" t="inlineStr">
        <is>
          <t>Anuncios TV</t>
        </is>
      </c>
      <c r="G96" t="inlineStr">
        <is>
          <t>Freelance</t>
        </is>
      </c>
      <c r="H96" s="2" t="n">
        <v>43325</v>
      </c>
      <c r="I96" s="2" t="n">
        <v>44122</v>
      </c>
      <c r="J96" t="inlineStr">
        <is>
          <t>Baja</t>
        </is>
      </c>
      <c r="K96" s="3" t="n">
        <v>0.75</v>
      </c>
      <c r="L96" s="4" t="n">
        <v>47144</v>
      </c>
      <c r="M96" s="3" t="n">
        <v>0</v>
      </c>
      <c r="N96" s="3" t="n">
        <v>0.326</v>
      </c>
      <c r="O96" s="4">
        <f>ROUND(L96*K96*(1+M96+N96),2)</f>
        <v/>
      </c>
      <c r="P96" t="inlineStr">
        <is>
          <t>Patricia Romero</t>
        </is>
      </c>
      <c r="Q96" t="inlineStr">
        <is>
          <t>Portugal</t>
        </is>
      </c>
      <c r="R96" t="inlineStr">
        <is>
          <t>Lisboa</t>
        </is>
      </c>
    </row>
    <row r="97">
      <c r="A97" t="inlineStr">
        <is>
          <t>EMP-0096</t>
        </is>
      </c>
      <c r="B97" t="inlineStr">
        <is>
          <t>Pablo</t>
        </is>
      </c>
      <c r="C97" t="inlineStr">
        <is>
          <t>Pérez</t>
        </is>
      </c>
      <c r="D97" t="inlineStr">
        <is>
          <t>Redacción</t>
        </is>
      </c>
      <c r="E97" t="inlineStr">
        <is>
          <t>Redactor</t>
        </is>
      </c>
      <c r="F97" t="inlineStr">
        <is>
          <t>Mantenimiento web</t>
        </is>
      </c>
      <c r="G97" t="inlineStr">
        <is>
          <t>Indefinido</t>
        </is>
      </c>
      <c r="H97" s="2" t="n">
        <v>44043</v>
      </c>
      <c r="I97" s="2" t="n"/>
      <c r="J97" t="inlineStr">
        <is>
          <t>Activo</t>
        </is>
      </c>
      <c r="K97" s="3" t="n">
        <v>1</v>
      </c>
      <c r="L97" s="4" t="n">
        <v>24361</v>
      </c>
      <c r="M97" s="3" t="n">
        <v>0.05</v>
      </c>
      <c r="N97" s="3" t="n">
        <v>0.332</v>
      </c>
      <c r="O97" s="4">
        <f>ROUND(L97*K97*(1+M97+N97),2)</f>
        <v/>
      </c>
      <c r="P97" t="inlineStr">
        <is>
          <t>Fernando Ruiz</t>
        </is>
      </c>
      <c r="Q97" t="inlineStr">
        <is>
          <t>España</t>
        </is>
      </c>
      <c r="R97" t="inlineStr">
        <is>
          <t>Sevilla</t>
        </is>
      </c>
    </row>
    <row r="98">
      <c r="A98" t="inlineStr">
        <is>
          <t>EMP-0097</t>
        </is>
      </c>
      <c r="B98" t="inlineStr">
        <is>
          <t>Marina</t>
        </is>
      </c>
      <c r="C98" t="inlineStr">
        <is>
          <t>Navarro</t>
        </is>
      </c>
      <c r="D98" t="inlineStr">
        <is>
          <t>Operaciones</t>
        </is>
      </c>
      <c r="E98" t="inlineStr">
        <is>
          <t>Project manager</t>
        </is>
      </c>
      <c r="F98" t="inlineStr">
        <is>
          <t>Anuncios internet</t>
        </is>
      </c>
      <c r="G98" t="inlineStr">
        <is>
          <t>Indefinido</t>
        </is>
      </c>
      <c r="H98" s="2" t="n">
        <v>44811</v>
      </c>
      <c r="I98" s="2" t="n"/>
      <c r="J98" t="inlineStr">
        <is>
          <t>Activo</t>
        </is>
      </c>
      <c r="K98" s="3" t="n">
        <v>1</v>
      </c>
      <c r="L98" s="4" t="n">
        <v>22683</v>
      </c>
      <c r="M98" s="3" t="n">
        <v>0.03</v>
      </c>
      <c r="N98" s="3" t="n">
        <v>0.29</v>
      </c>
      <c r="O98" s="4">
        <f>ROUND(L98*K98*(1+M98+N98),2)</f>
        <v/>
      </c>
      <c r="P98" t="inlineStr">
        <is>
          <t>Fernando Ruiz</t>
        </is>
      </c>
      <c r="Q98" t="inlineStr">
        <is>
          <t>Colombia</t>
        </is>
      </c>
      <c r="R98" t="inlineStr">
        <is>
          <t>Medellín</t>
        </is>
      </c>
    </row>
    <row r="99">
      <c r="A99" t="inlineStr">
        <is>
          <t>EMP-0098</t>
        </is>
      </c>
      <c r="B99" t="inlineStr">
        <is>
          <t>Sergio</t>
        </is>
      </c>
      <c r="C99" t="inlineStr">
        <is>
          <t>Navarro</t>
        </is>
      </c>
      <c r="D99" t="inlineStr">
        <is>
          <t>Marketing</t>
        </is>
      </c>
      <c r="E99" t="inlineStr">
        <is>
          <t>Campaign manager</t>
        </is>
      </c>
      <c r="F99" t="inlineStr">
        <is>
          <t>Traducciones</t>
        </is>
      </c>
      <c r="G99" t="inlineStr">
        <is>
          <t>Indefinido</t>
        </is>
      </c>
      <c r="H99" s="2" t="n">
        <v>45247</v>
      </c>
      <c r="I99" s="2" t="n">
        <v>46062</v>
      </c>
      <c r="J99" t="inlineStr">
        <is>
          <t>Baja</t>
        </is>
      </c>
      <c r="K99" s="3" t="n">
        <v>1</v>
      </c>
      <c r="L99" s="4" t="n">
        <v>35988</v>
      </c>
      <c r="M99" s="3" t="n">
        <v>0.12</v>
      </c>
      <c r="N99" s="3" t="n">
        <v>0.29</v>
      </c>
      <c r="O99" s="4">
        <f>ROUND(L99*K99*(1+M99+N99),2)</f>
        <v/>
      </c>
      <c r="P99" t="inlineStr">
        <is>
          <t>Jorge Molina</t>
        </is>
      </c>
      <c r="Q99" t="inlineStr">
        <is>
          <t>España</t>
        </is>
      </c>
      <c r="R99" t="inlineStr">
        <is>
          <t>Madrid</t>
        </is>
      </c>
    </row>
    <row r="100">
      <c r="A100" t="inlineStr">
        <is>
          <t>EMP-0099</t>
        </is>
      </c>
      <c r="B100" t="inlineStr">
        <is>
          <t>Teresa</t>
        </is>
      </c>
      <c r="C100" t="inlineStr">
        <is>
          <t>Suárez</t>
        </is>
      </c>
      <c r="D100" t="inlineStr">
        <is>
          <t>Redacción</t>
        </is>
      </c>
      <c r="E100" t="inlineStr">
        <is>
          <t>Redactor</t>
        </is>
      </c>
      <c r="F100" t="inlineStr">
        <is>
          <t>Anuncios TV</t>
        </is>
      </c>
      <c r="G100" t="inlineStr">
        <is>
          <t>Freelance</t>
        </is>
      </c>
      <c r="H100" s="2" t="n">
        <v>43705</v>
      </c>
      <c r="I100" s="2" t="n"/>
      <c r="J100" t="inlineStr">
        <is>
          <t>Activo</t>
        </is>
      </c>
      <c r="K100" s="3" t="n">
        <v>0.75</v>
      </c>
      <c r="L100" s="4" t="n">
        <v>30387</v>
      </c>
      <c r="M100" s="3" t="n">
        <v>0</v>
      </c>
      <c r="N100" s="3" t="n">
        <v>0.29</v>
      </c>
      <c r="O100" s="4">
        <f>ROUND(L100*K100*(1+M100+N100),2)</f>
        <v/>
      </c>
      <c r="P100" t="inlineStr">
        <is>
          <t>Jorge Molina</t>
        </is>
      </c>
      <c r="Q100" t="inlineStr">
        <is>
          <t>España</t>
        </is>
      </c>
      <c r="R100" t="inlineStr">
        <is>
          <t>Valencia</t>
        </is>
      </c>
    </row>
    <row r="101">
      <c r="A101" t="inlineStr">
        <is>
          <t>EMP-0100</t>
        </is>
      </c>
      <c r="B101" t="inlineStr">
        <is>
          <t>Óscar</t>
        </is>
      </c>
      <c r="C101" t="inlineStr">
        <is>
          <t>Molina</t>
        </is>
      </c>
      <c r="D101" t="inlineStr">
        <is>
          <t>Redacción</t>
        </is>
      </c>
      <c r="E101" t="inlineStr">
        <is>
          <t>Editor</t>
        </is>
      </c>
      <c r="F101" t="inlineStr">
        <is>
          <t>Publicación de noticias</t>
        </is>
      </c>
      <c r="G101" t="inlineStr">
        <is>
          <t>Indefinido</t>
        </is>
      </c>
      <c r="H101" s="2" t="n">
        <v>45474</v>
      </c>
      <c r="I101" s="2" t="n"/>
      <c r="J101" t="inlineStr">
        <is>
          <t>Activo</t>
        </is>
      </c>
      <c r="K101" s="3" t="n">
        <v>1</v>
      </c>
      <c r="L101" s="4" t="n">
        <v>43069</v>
      </c>
      <c r="M101" s="3" t="n">
        <v>0.1</v>
      </c>
      <c r="N101" s="3" t="n">
        <v>0.339</v>
      </c>
      <c r="O101" s="4">
        <f>ROUND(L101*K101*(1+M101+N101),2)</f>
        <v/>
      </c>
      <c r="P101" t="inlineStr">
        <is>
          <t>Jorge Molina</t>
        </is>
      </c>
      <c r="Q101" t="inlineStr">
        <is>
          <t>Chile</t>
        </is>
      </c>
      <c r="R101" t="inlineStr">
        <is>
          <t>Santiago</t>
        </is>
      </c>
    </row>
    <row r="102">
      <c r="A102" t="inlineStr">
        <is>
          <t>EMP-0101</t>
        </is>
      </c>
      <c r="B102" t="inlineStr">
        <is>
          <t>Sara</t>
        </is>
      </c>
      <c r="C102" t="inlineStr">
        <is>
          <t>Ortega</t>
        </is>
      </c>
      <c r="D102" t="inlineStr">
        <is>
          <t>Marketing</t>
        </is>
      </c>
      <c r="E102" t="inlineStr">
        <is>
          <t>Especialista SEM</t>
        </is>
      </c>
      <c r="F102" t="inlineStr">
        <is>
          <t>Publicación de noticias</t>
        </is>
      </c>
      <c r="G102" t="inlineStr">
        <is>
          <t>Indefinido</t>
        </is>
      </c>
      <c r="H102" s="2" t="n">
        <v>44226</v>
      </c>
      <c r="I102" s="2" t="n"/>
      <c r="J102" t="inlineStr">
        <is>
          <t>Activo</t>
        </is>
      </c>
      <c r="K102" s="3" t="n">
        <v>1</v>
      </c>
      <c r="L102" s="4" t="n">
        <v>43231</v>
      </c>
      <c r="M102" s="3" t="n">
        <v>0.03</v>
      </c>
      <c r="N102" s="3" t="n">
        <v>0.308</v>
      </c>
      <c r="O102" s="4">
        <f>ROUND(L102*K102*(1+M102+N102),2)</f>
        <v/>
      </c>
      <c r="P102" t="inlineStr">
        <is>
          <t>Ana Torres</t>
        </is>
      </c>
      <c r="Q102" t="inlineStr">
        <is>
          <t>España</t>
        </is>
      </c>
      <c r="R102" t="inlineStr">
        <is>
          <t>Sevilla</t>
        </is>
      </c>
    </row>
    <row r="103">
      <c r="A103" t="inlineStr">
        <is>
          <t>EMP-0102</t>
        </is>
      </c>
      <c r="B103" t="inlineStr">
        <is>
          <t>Álex</t>
        </is>
      </c>
      <c r="C103" t="inlineStr">
        <is>
          <t>Serrano</t>
        </is>
      </c>
      <c r="D103" t="inlineStr">
        <is>
          <t>Marketing</t>
        </is>
      </c>
      <c r="E103" t="inlineStr">
        <is>
          <t>Especialista SEM</t>
        </is>
      </c>
      <c r="F103" t="inlineStr">
        <is>
          <t>Generación de noticias</t>
        </is>
      </c>
      <c r="G103" t="inlineStr">
        <is>
          <t>Indefinido</t>
        </is>
      </c>
      <c r="H103" s="2" t="n">
        <v>44996</v>
      </c>
      <c r="I103" s="2" t="n"/>
      <c r="J103" t="inlineStr">
        <is>
          <t>Activo</t>
        </is>
      </c>
      <c r="K103" s="3" t="n">
        <v>0.5</v>
      </c>
      <c r="L103" s="4" t="n">
        <v>48182</v>
      </c>
      <c r="M103" s="3" t="n">
        <v>0.12</v>
      </c>
      <c r="N103" s="3" t="n">
        <v>0.314</v>
      </c>
      <c r="O103" s="4">
        <f>ROUND(L103*K103*(1+M103+N103),2)</f>
        <v/>
      </c>
      <c r="P103" t="inlineStr">
        <is>
          <t>Patricia Romero</t>
        </is>
      </c>
      <c r="Q103" t="inlineStr">
        <is>
          <t>España</t>
        </is>
      </c>
      <c r="R103" t="inlineStr">
        <is>
          <t>Madrid</t>
        </is>
      </c>
    </row>
    <row r="104">
      <c r="A104" t="inlineStr">
        <is>
          <t>EMP-0103</t>
        </is>
      </c>
      <c r="B104" t="inlineStr">
        <is>
          <t>Sara</t>
        </is>
      </c>
      <c r="C104" t="inlineStr">
        <is>
          <t>Sánchez</t>
        </is>
      </c>
      <c r="D104" t="inlineStr">
        <is>
          <t>Finanzas</t>
        </is>
      </c>
      <c r="E104" t="inlineStr">
        <is>
          <t>Analista financiero</t>
        </is>
      </c>
      <c r="F104" t="inlineStr">
        <is>
          <t>Anuncios TV</t>
        </is>
      </c>
      <c r="G104" t="inlineStr">
        <is>
          <t>Temporal</t>
        </is>
      </c>
      <c r="H104" s="2" t="n">
        <v>44507</v>
      </c>
      <c r="I104" s="2" t="n"/>
      <c r="J104" t="inlineStr">
        <is>
          <t>Activo</t>
        </is>
      </c>
      <c r="K104" s="3" t="n">
        <v>0.5</v>
      </c>
      <c r="L104" s="4" t="n">
        <v>38533</v>
      </c>
      <c r="M104" s="3" t="n">
        <v>0.1</v>
      </c>
      <c r="N104" s="3" t="n">
        <v>0.29</v>
      </c>
      <c r="O104" s="4">
        <f>ROUND(L104*K104*(1+M104+N104),2)</f>
        <v/>
      </c>
      <c r="P104" t="inlineStr">
        <is>
          <t>Jorge Molina</t>
        </is>
      </c>
      <c r="Q104" t="inlineStr">
        <is>
          <t>España</t>
        </is>
      </c>
      <c r="R104" t="inlineStr">
        <is>
          <t>Madrid</t>
        </is>
      </c>
    </row>
    <row r="105">
      <c r="A105" t="inlineStr">
        <is>
          <t>EMP-0104</t>
        </is>
      </c>
      <c r="B105" t="inlineStr">
        <is>
          <t>Adrián</t>
        </is>
      </c>
      <c r="C105" t="inlineStr">
        <is>
          <t>Romero</t>
        </is>
      </c>
      <c r="D105" t="inlineStr">
        <is>
          <t>Finanzas</t>
        </is>
      </c>
      <c r="E105" t="inlineStr">
        <is>
          <t>Técnico de facturación</t>
        </is>
      </c>
      <c r="F105" t="inlineStr">
        <is>
          <t>Anuncios internet</t>
        </is>
      </c>
      <c r="G105" t="inlineStr">
        <is>
          <t>Freelance</t>
        </is>
      </c>
      <c r="H105" s="2" t="n">
        <v>44687</v>
      </c>
      <c r="I105" s="2" t="n"/>
      <c r="J105" t="inlineStr">
        <is>
          <t>Activo</t>
        </is>
      </c>
      <c r="K105" s="3" t="n">
        <v>1</v>
      </c>
      <c r="L105" s="4" t="n">
        <v>44246</v>
      </c>
      <c r="M105" s="3" t="n">
        <v>0.08</v>
      </c>
      <c r="N105" s="3" t="n">
        <v>0.283</v>
      </c>
      <c r="O105" s="4">
        <f>ROUND(L105*K105*(1+M105+N105),2)</f>
        <v/>
      </c>
      <c r="P105" t="inlineStr">
        <is>
          <t>Jorge Molina</t>
        </is>
      </c>
      <c r="Q105" t="inlineStr">
        <is>
          <t>España</t>
        </is>
      </c>
      <c r="R105" t="inlineStr">
        <is>
          <t>Barcelona</t>
        </is>
      </c>
    </row>
    <row r="106">
      <c r="A106" t="inlineStr">
        <is>
          <t>EMP-0105</t>
        </is>
      </c>
      <c r="B106" t="inlineStr">
        <is>
          <t>Claudia</t>
        </is>
      </c>
      <c r="C106" t="inlineStr">
        <is>
          <t>Díaz</t>
        </is>
      </c>
      <c r="D106" t="inlineStr">
        <is>
          <t>Marketing</t>
        </is>
      </c>
      <c r="E106" t="inlineStr">
        <is>
          <t>Media planner</t>
        </is>
      </c>
      <c r="F106" t="inlineStr">
        <is>
          <t>Traducciones</t>
        </is>
      </c>
      <c r="G106" t="inlineStr">
        <is>
          <t>Temporal</t>
        </is>
      </c>
      <c r="H106" s="2" t="n">
        <v>45569</v>
      </c>
      <c r="I106" s="2" t="n"/>
      <c r="J106" t="inlineStr">
        <is>
          <t>Activo</t>
        </is>
      </c>
      <c r="K106" s="3" t="n">
        <v>1</v>
      </c>
      <c r="L106" s="4" t="n">
        <v>33443</v>
      </c>
      <c r="M106" s="3" t="n">
        <v>0.1</v>
      </c>
      <c r="N106" s="3" t="n">
        <v>0.288</v>
      </c>
      <c r="O106" s="4">
        <f>ROUND(L106*K106*(1+M106+N106),2)</f>
        <v/>
      </c>
      <c r="P106" t="inlineStr">
        <is>
          <t>Patricia Romero</t>
        </is>
      </c>
      <c r="Q106" t="inlineStr">
        <is>
          <t>España</t>
        </is>
      </c>
      <c r="R106" t="inlineStr">
        <is>
          <t>Sevilla</t>
        </is>
      </c>
    </row>
    <row r="107">
      <c r="A107" t="inlineStr">
        <is>
          <t>EMP-0106</t>
        </is>
      </c>
      <c r="B107" t="inlineStr">
        <is>
          <t>Hugo</t>
        </is>
      </c>
      <c r="C107" t="inlineStr">
        <is>
          <t>Ramos</t>
        </is>
      </c>
      <c r="D107" t="inlineStr">
        <is>
          <t>RRHH</t>
        </is>
      </c>
      <c r="E107" t="inlineStr">
        <is>
          <t>Employer branding specialist</t>
        </is>
      </c>
      <c r="F107" t="inlineStr">
        <is>
          <t>Publicación de noticias</t>
        </is>
      </c>
      <c r="G107" t="inlineStr">
        <is>
          <t>Indefinido</t>
        </is>
      </c>
      <c r="H107" s="2" t="n">
        <v>44446</v>
      </c>
      <c r="I107" s="2" t="n"/>
      <c r="J107" t="inlineStr">
        <is>
          <t>Activo</t>
        </is>
      </c>
      <c r="K107" s="3" t="n">
        <v>1</v>
      </c>
      <c r="L107" s="4" t="n">
        <v>25062</v>
      </c>
      <c r="M107" s="3" t="n">
        <v>0.1</v>
      </c>
      <c r="N107" s="3" t="n">
        <v>0.32</v>
      </c>
      <c r="O107" s="4">
        <f>ROUND(L107*K107*(1+M107+N107),2)</f>
        <v/>
      </c>
      <c r="P107" t="inlineStr">
        <is>
          <t>Patricia Romero</t>
        </is>
      </c>
      <c r="Q107" t="inlineStr">
        <is>
          <t>España</t>
        </is>
      </c>
      <c r="R107" t="inlineStr">
        <is>
          <t>Madrid</t>
        </is>
      </c>
    </row>
    <row r="108">
      <c r="A108" t="inlineStr">
        <is>
          <t>EMP-0107</t>
        </is>
      </c>
      <c r="B108" t="inlineStr">
        <is>
          <t>Marcos</t>
        </is>
      </c>
      <c r="C108" t="inlineStr">
        <is>
          <t>Molina</t>
        </is>
      </c>
      <c r="D108" t="inlineStr">
        <is>
          <t>Operaciones</t>
        </is>
      </c>
      <c r="E108" t="inlineStr">
        <is>
          <t>Coordinador de operaciones</t>
        </is>
      </c>
      <c r="F108" t="inlineStr">
        <is>
          <t>Anuncios RRHH</t>
        </is>
      </c>
      <c r="G108" t="inlineStr">
        <is>
          <t>Indefinido</t>
        </is>
      </c>
      <c r="H108" s="2" t="n">
        <v>44028</v>
      </c>
      <c r="I108" s="2" t="n"/>
      <c r="J108" t="inlineStr">
        <is>
          <t>Activo</t>
        </is>
      </c>
      <c r="K108" s="3" t="n">
        <v>0.75</v>
      </c>
      <c r="L108" s="4" t="n">
        <v>24528</v>
      </c>
      <c r="M108" s="3" t="n">
        <v>0.03</v>
      </c>
      <c r="N108" s="3" t="n">
        <v>0.331</v>
      </c>
      <c r="O108" s="4">
        <f>ROUND(L108*K108*(1+M108+N108),2)</f>
        <v/>
      </c>
      <c r="P108" t="inlineStr">
        <is>
          <t>Silvia Navarro</t>
        </is>
      </c>
      <c r="Q108" t="inlineStr">
        <is>
          <t>España</t>
        </is>
      </c>
      <c r="R108" t="inlineStr">
        <is>
          <t>Barcelona</t>
        </is>
      </c>
    </row>
    <row r="109">
      <c r="A109" t="inlineStr">
        <is>
          <t>EMP-0108</t>
        </is>
      </c>
      <c r="B109" t="inlineStr">
        <is>
          <t>Álex</t>
        </is>
      </c>
      <c r="C109" t="inlineStr">
        <is>
          <t>Pérez</t>
        </is>
      </c>
      <c r="D109" t="inlineStr">
        <is>
          <t>Atención al cliente</t>
        </is>
      </c>
      <c r="E109" t="inlineStr">
        <is>
          <t>Customer success</t>
        </is>
      </c>
      <c r="F109" t="inlineStr">
        <is>
          <t>Anuncios TV</t>
        </is>
      </c>
      <c r="G109" t="inlineStr">
        <is>
          <t>Indefinido</t>
        </is>
      </c>
      <c r="H109" s="2" t="n">
        <v>43732</v>
      </c>
      <c r="I109" s="2" t="n"/>
      <c r="J109" t="inlineStr">
        <is>
          <t>Activo</t>
        </is>
      </c>
      <c r="K109" s="3" t="n">
        <v>1</v>
      </c>
      <c r="L109" s="4" t="n">
        <v>48510</v>
      </c>
      <c r="M109" s="3" t="n">
        <v>0</v>
      </c>
      <c r="N109" s="3" t="n">
        <v>0.323</v>
      </c>
      <c r="O109" s="4">
        <f>ROUND(L109*K109*(1+M109+N109),2)</f>
        <v/>
      </c>
      <c r="P109" t="inlineStr">
        <is>
          <t>Fernando Ruiz</t>
        </is>
      </c>
      <c r="Q109" t="inlineStr">
        <is>
          <t>España</t>
        </is>
      </c>
      <c r="R109" t="inlineStr">
        <is>
          <t>Valencia</t>
        </is>
      </c>
    </row>
    <row r="110">
      <c r="A110" t="inlineStr">
        <is>
          <t>EMP-0109</t>
        </is>
      </c>
      <c r="B110" t="inlineStr">
        <is>
          <t>Sara</t>
        </is>
      </c>
      <c r="C110" t="inlineStr">
        <is>
          <t>Ruiz</t>
        </is>
      </c>
      <c r="D110" t="inlineStr">
        <is>
          <t>Marketing</t>
        </is>
      </c>
      <c r="E110" t="inlineStr">
        <is>
          <t>Campaign manager</t>
        </is>
      </c>
      <c r="F110" t="inlineStr">
        <is>
          <t>Mantenimiento intranets</t>
        </is>
      </c>
      <c r="G110" t="inlineStr">
        <is>
          <t>Indefinido</t>
        </is>
      </c>
      <c r="H110" s="2" t="n">
        <v>44368</v>
      </c>
      <c r="I110" s="2" t="n"/>
      <c r="J110" t="inlineStr">
        <is>
          <t>Activo</t>
        </is>
      </c>
      <c r="K110" s="3" t="n">
        <v>1</v>
      </c>
      <c r="L110" s="4" t="n">
        <v>62462</v>
      </c>
      <c r="M110" s="3" t="n">
        <v>0</v>
      </c>
      <c r="N110" s="3" t="n">
        <v>0.302</v>
      </c>
      <c r="O110" s="4">
        <f>ROUND(L110*K110*(1+M110+N110),2)</f>
        <v/>
      </c>
      <c r="P110" t="inlineStr">
        <is>
          <t>Fernando Ruiz</t>
        </is>
      </c>
      <c r="Q110" t="inlineStr">
        <is>
          <t>Chile</t>
        </is>
      </c>
      <c r="R110" t="inlineStr">
        <is>
          <t>Santiago</t>
        </is>
      </c>
    </row>
    <row r="111">
      <c r="A111" t="inlineStr">
        <is>
          <t>EMP-0110</t>
        </is>
      </c>
      <c r="B111" t="inlineStr">
        <is>
          <t>Elena</t>
        </is>
      </c>
      <c r="C111" t="inlineStr">
        <is>
          <t>Morales</t>
        </is>
      </c>
      <c r="D111" t="inlineStr">
        <is>
          <t>Finanzas</t>
        </is>
      </c>
      <c r="E111" t="inlineStr">
        <is>
          <t>Controller</t>
        </is>
      </c>
      <c r="F111" t="inlineStr">
        <is>
          <t>Generación de noticias</t>
        </is>
      </c>
      <c r="G111" t="inlineStr">
        <is>
          <t>Indefinido</t>
        </is>
      </c>
      <c r="H111" s="2" t="n">
        <v>45577</v>
      </c>
      <c r="I111" s="2" t="n"/>
      <c r="J111" t="inlineStr">
        <is>
          <t>Activo</t>
        </is>
      </c>
      <c r="K111" s="3" t="n">
        <v>1</v>
      </c>
      <c r="L111" s="4" t="n">
        <v>23709</v>
      </c>
      <c r="M111" s="3" t="n">
        <v>0.1</v>
      </c>
      <c r="N111" s="3" t="n">
        <v>0.309</v>
      </c>
      <c r="O111" s="4">
        <f>ROUND(L111*K111*(1+M111+N111),2)</f>
        <v/>
      </c>
      <c r="P111" t="inlineStr">
        <is>
          <t>Silvia Navarro</t>
        </is>
      </c>
      <c r="Q111" t="inlineStr">
        <is>
          <t>México</t>
        </is>
      </c>
      <c r="R111" t="inlineStr">
        <is>
          <t>Guadalajara</t>
        </is>
      </c>
    </row>
    <row r="112">
      <c r="A112" t="inlineStr">
        <is>
          <t>EMP-0111</t>
        </is>
      </c>
      <c r="B112" t="inlineStr">
        <is>
          <t>Daniel</t>
        </is>
      </c>
      <c r="C112" t="inlineStr">
        <is>
          <t>Molina</t>
        </is>
      </c>
      <c r="D112" t="inlineStr">
        <is>
          <t>Redacción</t>
        </is>
      </c>
      <c r="E112" t="inlineStr">
        <is>
          <t>Redactor</t>
        </is>
      </c>
      <c r="F112" t="inlineStr">
        <is>
          <t>Anuncios TV</t>
        </is>
      </c>
      <c r="G112" t="inlineStr">
        <is>
          <t>Indefinido</t>
        </is>
      </c>
      <c r="H112" s="2" t="n">
        <v>44941</v>
      </c>
      <c r="I112" s="2" t="n"/>
      <c r="J112" t="inlineStr">
        <is>
          <t>Activo</t>
        </is>
      </c>
      <c r="K112" s="3" t="n">
        <v>0.75</v>
      </c>
      <c r="L112" s="4" t="n">
        <v>49231</v>
      </c>
      <c r="M112" s="3" t="n">
        <v>0.05</v>
      </c>
      <c r="N112" s="3" t="n">
        <v>0.286</v>
      </c>
      <c r="O112" s="4">
        <f>ROUND(L112*K112*(1+M112+N112),2)</f>
        <v/>
      </c>
      <c r="P112" t="inlineStr">
        <is>
          <t>Fernando Ruiz</t>
        </is>
      </c>
      <c r="Q112" t="inlineStr">
        <is>
          <t>Colombia</t>
        </is>
      </c>
      <c r="R112" t="inlineStr">
        <is>
          <t>Medellín</t>
        </is>
      </c>
    </row>
    <row r="113">
      <c r="A113" t="inlineStr">
        <is>
          <t>EMP-0112</t>
        </is>
      </c>
      <c r="B113" t="inlineStr">
        <is>
          <t>Noelia</t>
        </is>
      </c>
      <c r="C113" t="inlineStr">
        <is>
          <t>Romero</t>
        </is>
      </c>
      <c r="D113" t="inlineStr">
        <is>
          <t>Marketing</t>
        </is>
      </c>
      <c r="E113" t="inlineStr">
        <is>
          <t>Campaign manager</t>
        </is>
      </c>
      <c r="F113" t="inlineStr">
        <is>
          <t>Mantenimiento web</t>
        </is>
      </c>
      <c r="G113" t="inlineStr">
        <is>
          <t>Indefinido</t>
        </is>
      </c>
      <c r="H113" s="2" t="n">
        <v>43435</v>
      </c>
      <c r="I113" s="2" t="n"/>
      <c r="J113" t="inlineStr">
        <is>
          <t>Activo</t>
        </is>
      </c>
      <c r="K113" s="3" t="n">
        <v>0.5</v>
      </c>
      <c r="L113" s="4" t="n">
        <v>44067</v>
      </c>
      <c r="M113" s="3" t="n">
        <v>0</v>
      </c>
      <c r="N113" s="3" t="n">
        <v>0.33</v>
      </c>
      <c r="O113" s="4">
        <f>ROUND(L113*K113*(1+M113+N113),2)</f>
        <v/>
      </c>
      <c r="P113" t="inlineStr">
        <is>
          <t>Patricia Romero</t>
        </is>
      </c>
      <c r="Q113" t="inlineStr">
        <is>
          <t>España</t>
        </is>
      </c>
      <c r="R113" t="inlineStr">
        <is>
          <t>Sevilla</t>
        </is>
      </c>
    </row>
    <row r="114">
      <c r="A114" t="inlineStr">
        <is>
          <t>EMP-0113</t>
        </is>
      </c>
      <c r="B114" t="inlineStr">
        <is>
          <t>Carmen</t>
        </is>
      </c>
      <c r="C114" t="inlineStr">
        <is>
          <t>Molina</t>
        </is>
      </c>
      <c r="D114" t="inlineStr">
        <is>
          <t>Traducción</t>
        </is>
      </c>
      <c r="E114" t="inlineStr">
        <is>
          <t>Traductor</t>
        </is>
      </c>
      <c r="F114" t="inlineStr">
        <is>
          <t>Publicación de noticias</t>
        </is>
      </c>
      <c r="G114" t="inlineStr">
        <is>
          <t>Indefinido</t>
        </is>
      </c>
      <c r="H114" s="2" t="n">
        <v>44938</v>
      </c>
      <c r="I114" s="2" t="n"/>
      <c r="J114" t="inlineStr">
        <is>
          <t>Activo</t>
        </is>
      </c>
      <c r="K114" s="3" t="n">
        <v>0.5</v>
      </c>
      <c r="L114" s="4" t="n">
        <v>22622</v>
      </c>
      <c r="M114" s="3" t="n">
        <v>0.03</v>
      </c>
      <c r="N114" s="3" t="n">
        <v>0.293</v>
      </c>
      <c r="O114" s="4">
        <f>ROUND(L114*K114*(1+M114+N114),2)</f>
        <v/>
      </c>
      <c r="P114" t="inlineStr">
        <is>
          <t>Silvia Navarro</t>
        </is>
      </c>
      <c r="Q114" t="inlineStr">
        <is>
          <t>España</t>
        </is>
      </c>
      <c r="R114" t="inlineStr">
        <is>
          <t>Sevilla</t>
        </is>
      </c>
    </row>
    <row r="115">
      <c r="A115" t="inlineStr">
        <is>
          <t>EMP-0114</t>
        </is>
      </c>
      <c r="B115" t="inlineStr">
        <is>
          <t>Sergio</t>
        </is>
      </c>
      <c r="C115" t="inlineStr">
        <is>
          <t>Moreno</t>
        </is>
      </c>
      <c r="D115" t="inlineStr">
        <is>
          <t>Atención al cliente</t>
        </is>
      </c>
      <c r="E115" t="inlineStr">
        <is>
          <t>Soporte cliente</t>
        </is>
      </c>
      <c r="F115" t="inlineStr">
        <is>
          <t>Anuncios prensa</t>
        </is>
      </c>
      <c r="G115" t="inlineStr">
        <is>
          <t>Indefinido</t>
        </is>
      </c>
      <c r="H115" s="2" t="n">
        <v>44077</v>
      </c>
      <c r="I115" s="2" t="n"/>
      <c r="J115" t="inlineStr">
        <is>
          <t>Activo</t>
        </is>
      </c>
      <c r="K115" s="3" t="n">
        <v>1</v>
      </c>
      <c r="L115" s="4" t="n">
        <v>36978</v>
      </c>
      <c r="M115" s="3" t="n">
        <v>0</v>
      </c>
      <c r="N115" s="3" t="n">
        <v>0.287</v>
      </c>
      <c r="O115" s="4">
        <f>ROUND(L115*K115*(1+M115+N115),2)</f>
        <v/>
      </c>
      <c r="P115" t="inlineStr">
        <is>
          <t>Silvia Navarro</t>
        </is>
      </c>
      <c r="Q115" t="inlineStr">
        <is>
          <t>España</t>
        </is>
      </c>
      <c r="R115" t="inlineStr">
        <is>
          <t>Valencia</t>
        </is>
      </c>
    </row>
    <row r="116">
      <c r="A116" t="inlineStr">
        <is>
          <t>EMP-0115</t>
        </is>
      </c>
      <c r="B116" t="inlineStr">
        <is>
          <t>Diego</t>
        </is>
      </c>
      <c r="C116" t="inlineStr">
        <is>
          <t>Moreno</t>
        </is>
      </c>
      <c r="D116" t="inlineStr">
        <is>
          <t>Atención al cliente</t>
        </is>
      </c>
      <c r="E116" t="inlineStr">
        <is>
          <t>Customer success</t>
        </is>
      </c>
      <c r="F116" t="inlineStr">
        <is>
          <t>Mantenimiento web</t>
        </is>
      </c>
      <c r="G116" t="inlineStr">
        <is>
          <t>Indefinido</t>
        </is>
      </c>
      <c r="H116" s="2" t="n">
        <v>45619</v>
      </c>
      <c r="I116" s="2" t="n"/>
      <c r="J116" t="inlineStr">
        <is>
          <t>Activo</t>
        </is>
      </c>
      <c r="K116" s="3" t="n">
        <v>1</v>
      </c>
      <c r="L116" s="4" t="n">
        <v>35650</v>
      </c>
      <c r="M116" s="3" t="n">
        <v>0</v>
      </c>
      <c r="N116" s="3" t="n">
        <v>0.32</v>
      </c>
      <c r="O116" s="4">
        <f>ROUND(L116*K116*(1+M116+N116),2)</f>
        <v/>
      </c>
      <c r="P116" t="inlineStr">
        <is>
          <t>Silvia Navarro</t>
        </is>
      </c>
      <c r="Q116" t="inlineStr">
        <is>
          <t>Portugal</t>
        </is>
      </c>
      <c r="R116" t="inlineStr">
        <is>
          <t>Lisboa</t>
        </is>
      </c>
    </row>
    <row r="117">
      <c r="A117" t="inlineStr">
        <is>
          <t>EMP-0116</t>
        </is>
      </c>
      <c r="B117" t="inlineStr">
        <is>
          <t>Andrea</t>
        </is>
      </c>
      <c r="C117" t="inlineStr">
        <is>
          <t>Marín</t>
        </is>
      </c>
      <c r="D117" t="inlineStr">
        <is>
          <t>Marketing</t>
        </is>
      </c>
      <c r="E117" t="inlineStr">
        <is>
          <t>Media planner</t>
        </is>
      </c>
      <c r="F117" t="inlineStr">
        <is>
          <t>Traducciones</t>
        </is>
      </c>
      <c r="G117" t="inlineStr">
        <is>
          <t>Indefinido</t>
        </is>
      </c>
      <c r="H117" s="2" t="n">
        <v>44685</v>
      </c>
      <c r="I117" s="2" t="n"/>
      <c r="J117" t="inlineStr">
        <is>
          <t>Activo</t>
        </is>
      </c>
      <c r="K117" s="3" t="n">
        <v>1</v>
      </c>
      <c r="L117" s="4" t="n">
        <v>50621</v>
      </c>
      <c r="M117" s="3" t="n">
        <v>0.03</v>
      </c>
      <c r="N117" s="3" t="n">
        <v>0.327</v>
      </c>
      <c r="O117" s="4">
        <f>ROUND(L117*K117*(1+M117+N117),2)</f>
        <v/>
      </c>
      <c r="P117" t="inlineStr">
        <is>
          <t>Luis Gómez</t>
        </is>
      </c>
      <c r="Q117" t="inlineStr">
        <is>
          <t>Chile</t>
        </is>
      </c>
      <c r="R117" t="inlineStr">
        <is>
          <t>Santiago</t>
        </is>
      </c>
    </row>
    <row r="118">
      <c r="A118" t="inlineStr">
        <is>
          <t>EMP-0117</t>
        </is>
      </c>
      <c r="B118" t="inlineStr">
        <is>
          <t>Eva</t>
        </is>
      </c>
      <c r="C118" t="inlineStr">
        <is>
          <t>Álvarez</t>
        </is>
      </c>
      <c r="D118" t="inlineStr">
        <is>
          <t>Redacción</t>
        </is>
      </c>
      <c r="E118" t="inlineStr">
        <is>
          <t>Redactor</t>
        </is>
      </c>
      <c r="F118" t="inlineStr">
        <is>
          <t>Anuncios RRHH</t>
        </is>
      </c>
      <c r="G118" t="inlineStr">
        <is>
          <t>Temporal</t>
        </is>
      </c>
      <c r="H118" s="2" t="n">
        <v>43818</v>
      </c>
      <c r="I118" s="2" t="n"/>
      <c r="J118" t="inlineStr">
        <is>
          <t>Activo</t>
        </is>
      </c>
      <c r="K118" s="3" t="n">
        <v>1</v>
      </c>
      <c r="L118" s="4" t="n">
        <v>44786</v>
      </c>
      <c r="M118" s="3" t="n">
        <v>0.05</v>
      </c>
      <c r="N118" s="3" t="n">
        <v>0.318</v>
      </c>
      <c r="O118" s="4">
        <f>ROUND(L118*K118*(1+M118+N118),2)</f>
        <v/>
      </c>
      <c r="P118" t="inlineStr">
        <is>
          <t>Ana Torres</t>
        </is>
      </c>
      <c r="Q118" t="inlineStr">
        <is>
          <t>España</t>
        </is>
      </c>
      <c r="R118" t="inlineStr">
        <is>
          <t>Valencia</t>
        </is>
      </c>
    </row>
    <row r="119">
      <c r="A119" t="inlineStr">
        <is>
          <t>EMP-0118</t>
        </is>
      </c>
      <c r="B119" t="inlineStr">
        <is>
          <t>Laura</t>
        </is>
      </c>
      <c r="C119" t="inlineStr">
        <is>
          <t>Cano</t>
        </is>
      </c>
      <c r="D119" t="inlineStr">
        <is>
          <t>Finanzas</t>
        </is>
      </c>
      <c r="E119" t="inlineStr">
        <is>
          <t>Técnico de facturación</t>
        </is>
      </c>
      <c r="F119" t="inlineStr">
        <is>
          <t>Mantenimiento web</t>
        </is>
      </c>
      <c r="G119" t="inlineStr">
        <is>
          <t>Indefinido</t>
        </is>
      </c>
      <c r="H119" s="2" t="n">
        <v>44371</v>
      </c>
      <c r="I119" s="2" t="n"/>
      <c r="J119" t="inlineStr">
        <is>
          <t>Activo</t>
        </is>
      </c>
      <c r="K119" s="3" t="n">
        <v>1</v>
      </c>
      <c r="L119" s="4" t="n">
        <v>37512</v>
      </c>
      <c r="M119" s="3" t="n">
        <v>0.03</v>
      </c>
      <c r="N119" s="3" t="n">
        <v>0.282</v>
      </c>
      <c r="O119" s="4">
        <f>ROUND(L119*K119*(1+M119+N119),2)</f>
        <v/>
      </c>
      <c r="P119" t="inlineStr">
        <is>
          <t>Luis Gómez</t>
        </is>
      </c>
      <c r="Q119" t="inlineStr">
        <is>
          <t>España</t>
        </is>
      </c>
      <c r="R119" t="inlineStr">
        <is>
          <t>Madrid</t>
        </is>
      </c>
    </row>
    <row r="120">
      <c r="A120" t="inlineStr">
        <is>
          <t>EMP-0119</t>
        </is>
      </c>
      <c r="B120" t="inlineStr">
        <is>
          <t>Marcos</t>
        </is>
      </c>
      <c r="C120" t="inlineStr">
        <is>
          <t>Díaz</t>
        </is>
      </c>
      <c r="D120" t="inlineStr">
        <is>
          <t>Comercial</t>
        </is>
      </c>
      <c r="E120" t="inlineStr">
        <is>
          <t>Ejecutivo de cuentas</t>
        </is>
      </c>
      <c r="F120" t="inlineStr">
        <is>
          <t>Anuncios RRHH</t>
        </is>
      </c>
      <c r="G120" t="inlineStr">
        <is>
          <t>Indefinido</t>
        </is>
      </c>
      <c r="H120" s="2" t="n">
        <v>44608</v>
      </c>
      <c r="I120" s="2" t="n"/>
      <c r="J120" t="inlineStr">
        <is>
          <t>Activo</t>
        </is>
      </c>
      <c r="K120" s="3" t="n">
        <v>1</v>
      </c>
      <c r="L120" s="4" t="n">
        <v>53958</v>
      </c>
      <c r="M120" s="3" t="n">
        <v>0.05</v>
      </c>
      <c r="N120" s="3" t="n">
        <v>0.3</v>
      </c>
      <c r="O120" s="4">
        <f>ROUND(L120*K120*(1+M120+N120),2)</f>
        <v/>
      </c>
      <c r="P120" t="inlineStr">
        <is>
          <t>Fernando Ruiz</t>
        </is>
      </c>
      <c r="Q120" t="inlineStr">
        <is>
          <t>Colombia</t>
        </is>
      </c>
      <c r="R120" t="inlineStr">
        <is>
          <t>Bogotá</t>
        </is>
      </c>
    </row>
    <row r="121">
      <c r="A121" t="inlineStr">
        <is>
          <t>EMP-0120</t>
        </is>
      </c>
      <c r="B121" t="inlineStr">
        <is>
          <t>Daniel</t>
        </is>
      </c>
      <c r="C121" t="inlineStr">
        <is>
          <t>Suárez</t>
        </is>
      </c>
      <c r="D121" t="inlineStr">
        <is>
          <t>Finanzas</t>
        </is>
      </c>
      <c r="E121" t="inlineStr">
        <is>
          <t>Analista financiero</t>
        </is>
      </c>
      <c r="F121" t="inlineStr">
        <is>
          <t>Anuncios RRHH</t>
        </is>
      </c>
      <c r="G121" t="inlineStr">
        <is>
          <t>Indefinido</t>
        </is>
      </c>
      <c r="H121" s="2" t="n">
        <v>44864</v>
      </c>
      <c r="I121" s="2" t="n"/>
      <c r="J121" t="inlineStr">
        <is>
          <t>Activo</t>
        </is>
      </c>
      <c r="K121" s="3" t="n">
        <v>0.75</v>
      </c>
      <c r="L121" s="4" t="n">
        <v>39874</v>
      </c>
      <c r="M121" s="3" t="n">
        <v>0.03</v>
      </c>
      <c r="N121" s="3" t="n">
        <v>0.299</v>
      </c>
      <c r="O121" s="4">
        <f>ROUND(L121*K121*(1+M121+N121),2)</f>
        <v/>
      </c>
      <c r="P121" t="inlineStr">
        <is>
          <t>Patricia Romero</t>
        </is>
      </c>
      <c r="Q121" t="inlineStr">
        <is>
          <t>Colombia</t>
        </is>
      </c>
      <c r="R121" t="inlineStr">
        <is>
          <t>Medellín</t>
        </is>
      </c>
    </row>
    <row r="122">
      <c r="A122" t="inlineStr">
        <is>
          <t>EMP-0121</t>
        </is>
      </c>
      <c r="B122" t="inlineStr">
        <is>
          <t>Elena</t>
        </is>
      </c>
      <c r="C122" t="inlineStr">
        <is>
          <t>Castro</t>
        </is>
      </c>
      <c r="D122" t="inlineStr">
        <is>
          <t>Comercial</t>
        </is>
      </c>
      <c r="E122" t="inlineStr">
        <is>
          <t>Ejecutivo de cuentas</t>
        </is>
      </c>
      <c r="F122" t="inlineStr">
        <is>
          <t>Generación de noticias</t>
        </is>
      </c>
      <c r="G122" t="inlineStr">
        <is>
          <t>Indefinido</t>
        </is>
      </c>
      <c r="H122" s="2" t="n">
        <v>44932</v>
      </c>
      <c r="I122" s="2" t="n">
        <v>45834</v>
      </c>
      <c r="J122" t="inlineStr">
        <is>
          <t>Baja</t>
        </is>
      </c>
      <c r="K122" s="3" t="n">
        <v>1</v>
      </c>
      <c r="L122" s="4" t="n">
        <v>42501</v>
      </c>
      <c r="M122" s="3" t="n">
        <v>0.1</v>
      </c>
      <c r="N122" s="3" t="n">
        <v>0.339</v>
      </c>
      <c r="O122" s="4">
        <f>ROUND(L122*K122*(1+M122+N122),2)</f>
        <v/>
      </c>
      <c r="P122" t="inlineStr">
        <is>
          <t>Ana Torres</t>
        </is>
      </c>
      <c r="Q122" t="inlineStr">
        <is>
          <t>España</t>
        </is>
      </c>
      <c r="R122" t="inlineStr">
        <is>
          <t>Sevilla</t>
        </is>
      </c>
    </row>
    <row r="123">
      <c r="A123" t="inlineStr">
        <is>
          <t>EMP-0122</t>
        </is>
      </c>
      <c r="B123" t="inlineStr">
        <is>
          <t>Carlos</t>
        </is>
      </c>
      <c r="C123" t="inlineStr">
        <is>
          <t>Pérez</t>
        </is>
      </c>
      <c r="D123" t="inlineStr">
        <is>
          <t>RRHH</t>
        </is>
      </c>
      <c r="E123" t="inlineStr">
        <is>
          <t>Recruitment marketer</t>
        </is>
      </c>
      <c r="F123" t="inlineStr">
        <is>
          <t>Anuncios RRHH</t>
        </is>
      </c>
      <c r="G123" t="inlineStr">
        <is>
          <t>Temporal</t>
        </is>
      </c>
      <c r="H123" s="2" t="n">
        <v>44895</v>
      </c>
      <c r="I123" s="2" t="n">
        <v>45212</v>
      </c>
      <c r="J123" t="inlineStr">
        <is>
          <t>Baja</t>
        </is>
      </c>
      <c r="K123" s="3" t="n">
        <v>0.75</v>
      </c>
      <c r="L123" s="4" t="n">
        <v>47510</v>
      </c>
      <c r="M123" s="3" t="n">
        <v>0.1</v>
      </c>
      <c r="N123" s="3" t="n">
        <v>0.302</v>
      </c>
      <c r="O123" s="4">
        <f>ROUND(L123*K123*(1+M123+N123),2)</f>
        <v/>
      </c>
      <c r="P123" t="inlineStr">
        <is>
          <t>Silvia Navarro</t>
        </is>
      </c>
      <c r="Q123" t="inlineStr">
        <is>
          <t>España</t>
        </is>
      </c>
      <c r="R123" t="inlineStr">
        <is>
          <t>Barcelona</t>
        </is>
      </c>
    </row>
    <row r="124">
      <c r="A124" t="inlineStr">
        <is>
          <t>EMP-0123</t>
        </is>
      </c>
      <c r="B124" t="inlineStr">
        <is>
          <t>Adrián</t>
        </is>
      </c>
      <c r="C124" t="inlineStr">
        <is>
          <t>Torres</t>
        </is>
      </c>
      <c r="D124" t="inlineStr">
        <is>
          <t>Operaciones</t>
        </is>
      </c>
      <c r="E124" t="inlineStr">
        <is>
          <t>Coordinador de operaciones</t>
        </is>
      </c>
      <c r="F124" t="inlineStr">
        <is>
          <t>Publicación de noticias</t>
        </is>
      </c>
      <c r="G124" t="inlineStr">
        <is>
          <t>Temporal</t>
        </is>
      </c>
      <c r="H124" s="2" t="n">
        <v>45451</v>
      </c>
      <c r="I124" s="2" t="n"/>
      <c r="J124" t="inlineStr">
        <is>
          <t>Activo</t>
        </is>
      </c>
      <c r="K124" s="3" t="n">
        <v>1</v>
      </c>
      <c r="L124" s="4" t="n">
        <v>35042</v>
      </c>
      <c r="M124" s="3" t="n">
        <v>0.03</v>
      </c>
      <c r="N124" s="3" t="n">
        <v>0.319</v>
      </c>
      <c r="O124" s="4">
        <f>ROUND(L124*K124*(1+M124+N124),2)</f>
        <v/>
      </c>
      <c r="P124" t="inlineStr">
        <is>
          <t>Ana Torres</t>
        </is>
      </c>
      <c r="Q124" t="inlineStr">
        <is>
          <t>Portugal</t>
        </is>
      </c>
      <c r="R124" t="inlineStr">
        <is>
          <t>Oporto</t>
        </is>
      </c>
    </row>
    <row r="125">
      <c r="A125" t="inlineStr">
        <is>
          <t>EMP-0124</t>
        </is>
      </c>
      <c r="B125" t="inlineStr">
        <is>
          <t>Gonzalo</t>
        </is>
      </c>
      <c r="C125" t="inlineStr">
        <is>
          <t>Sánchez</t>
        </is>
      </c>
      <c r="D125" t="inlineStr">
        <is>
          <t>Operaciones</t>
        </is>
      </c>
      <c r="E125" t="inlineStr">
        <is>
          <t>Especialista de cuentas</t>
        </is>
      </c>
      <c r="F125" t="inlineStr">
        <is>
          <t>Publicación de noticias</t>
        </is>
      </c>
      <c r="G125" t="inlineStr">
        <is>
          <t>Indefinido</t>
        </is>
      </c>
      <c r="H125" s="2" t="n">
        <v>44167</v>
      </c>
      <c r="I125" s="2" t="n"/>
      <c r="J125" t="inlineStr">
        <is>
          <t>Activo</t>
        </is>
      </c>
      <c r="K125" s="3" t="n">
        <v>0.75</v>
      </c>
      <c r="L125" s="4" t="n">
        <v>42049</v>
      </c>
      <c r="M125" s="3" t="n">
        <v>0.03</v>
      </c>
      <c r="N125" s="3" t="n">
        <v>0.322</v>
      </c>
      <c r="O125" s="4">
        <f>ROUND(L125*K125*(1+M125+N125),2)</f>
        <v/>
      </c>
      <c r="P125" t="inlineStr">
        <is>
          <t>Luis Gómez</t>
        </is>
      </c>
      <c r="Q125" t="inlineStr">
        <is>
          <t>España</t>
        </is>
      </c>
      <c r="R125" t="inlineStr">
        <is>
          <t>Sevilla</t>
        </is>
      </c>
    </row>
    <row r="126">
      <c r="A126" t="inlineStr">
        <is>
          <t>EMP-0125</t>
        </is>
      </c>
      <c r="B126" t="inlineStr">
        <is>
          <t>Pablo</t>
        </is>
      </c>
      <c r="C126" t="inlineStr">
        <is>
          <t>Cano</t>
        </is>
      </c>
      <c r="D126" t="inlineStr">
        <is>
          <t>Redacción</t>
        </is>
      </c>
      <c r="E126" t="inlineStr">
        <is>
          <t>Content manager</t>
        </is>
      </c>
      <c r="F126" t="inlineStr">
        <is>
          <t>Publicación de noticias</t>
        </is>
      </c>
      <c r="G126" t="inlineStr">
        <is>
          <t>Indefinido</t>
        </is>
      </c>
      <c r="H126" s="2" t="n">
        <v>43460</v>
      </c>
      <c r="I126" s="2" t="n"/>
      <c r="J126" t="inlineStr">
        <is>
          <t>Activo</t>
        </is>
      </c>
      <c r="K126" s="3" t="n">
        <v>1</v>
      </c>
      <c r="L126" s="4" t="n">
        <v>43883</v>
      </c>
      <c r="M126" s="3" t="n">
        <v>0.03</v>
      </c>
      <c r="N126" s="3" t="n">
        <v>0.323</v>
      </c>
      <c r="O126" s="4">
        <f>ROUND(L126*K126*(1+M126+N126),2)</f>
        <v/>
      </c>
      <c r="P126" t="inlineStr">
        <is>
          <t>Silvia Navarro</t>
        </is>
      </c>
      <c r="Q126" t="inlineStr">
        <is>
          <t>Colombia</t>
        </is>
      </c>
      <c r="R126" t="inlineStr">
        <is>
          <t>Medellín</t>
        </is>
      </c>
    </row>
    <row r="127">
      <c r="A127" t="inlineStr">
        <is>
          <t>EMP-0126</t>
        </is>
      </c>
      <c r="B127" t="inlineStr">
        <is>
          <t>Adrián</t>
        </is>
      </c>
      <c r="C127" t="inlineStr">
        <is>
          <t>Vázquez</t>
        </is>
      </c>
      <c r="D127" t="inlineStr">
        <is>
          <t>Comercial</t>
        </is>
      </c>
      <c r="E127" t="inlineStr">
        <is>
          <t>Business developer</t>
        </is>
      </c>
      <c r="F127" t="inlineStr">
        <is>
          <t>Generación de noticias</t>
        </is>
      </c>
      <c r="G127" t="inlineStr">
        <is>
          <t>Indefinido</t>
        </is>
      </c>
      <c r="H127" s="2" t="n">
        <v>43924</v>
      </c>
      <c r="I127" s="2" t="n"/>
      <c r="J127" t="inlineStr">
        <is>
          <t>Activo</t>
        </is>
      </c>
      <c r="K127" s="3" t="n">
        <v>0.75</v>
      </c>
      <c r="L127" s="4" t="n">
        <v>55945</v>
      </c>
      <c r="M127" s="3" t="n">
        <v>0</v>
      </c>
      <c r="N127" s="3" t="n">
        <v>0.302</v>
      </c>
      <c r="O127" s="4">
        <f>ROUND(L127*K127*(1+M127+N127),2)</f>
        <v/>
      </c>
      <c r="P127" t="inlineStr">
        <is>
          <t>Patricia Romero</t>
        </is>
      </c>
      <c r="Q127" t="inlineStr">
        <is>
          <t>Colombia</t>
        </is>
      </c>
      <c r="R127" t="inlineStr">
        <is>
          <t>Bogotá</t>
        </is>
      </c>
    </row>
    <row r="128">
      <c r="A128" t="inlineStr">
        <is>
          <t>EMP-0127</t>
        </is>
      </c>
      <c r="B128" t="inlineStr">
        <is>
          <t>Sofía</t>
        </is>
      </c>
      <c r="C128" t="inlineStr">
        <is>
          <t>Moreno</t>
        </is>
      </c>
      <c r="D128" t="inlineStr">
        <is>
          <t>Finanzas</t>
        </is>
      </c>
      <c r="E128" t="inlineStr">
        <is>
          <t>Controller</t>
        </is>
      </c>
      <c r="F128" t="inlineStr">
        <is>
          <t>Anuncios TV</t>
        </is>
      </c>
      <c r="G128" t="inlineStr">
        <is>
          <t>Indefinido</t>
        </is>
      </c>
      <c r="H128" s="2" t="n">
        <v>45061</v>
      </c>
      <c r="I128" s="2" t="n"/>
      <c r="J128" t="inlineStr">
        <is>
          <t>Activo</t>
        </is>
      </c>
      <c r="K128" s="3" t="n">
        <v>1</v>
      </c>
      <c r="L128" s="4" t="n">
        <v>48979</v>
      </c>
      <c r="M128" s="3" t="n">
        <v>0.08</v>
      </c>
      <c r="N128" s="3" t="n">
        <v>0.284</v>
      </c>
      <c r="O128" s="4">
        <f>ROUND(L128*K128*(1+M128+N128),2)</f>
        <v/>
      </c>
      <c r="P128" t="inlineStr">
        <is>
          <t>Jorge Molina</t>
        </is>
      </c>
      <c r="Q128" t="inlineStr">
        <is>
          <t>España</t>
        </is>
      </c>
      <c r="R128" t="inlineStr">
        <is>
          <t>Madrid</t>
        </is>
      </c>
    </row>
    <row r="129">
      <c r="A129" t="inlineStr">
        <is>
          <t>EMP-0128</t>
        </is>
      </c>
      <c r="B129" t="inlineStr">
        <is>
          <t>Carmen</t>
        </is>
      </c>
      <c r="C129" t="inlineStr">
        <is>
          <t>Cano</t>
        </is>
      </c>
      <c r="D129" t="inlineStr">
        <is>
          <t>Redacción</t>
        </is>
      </c>
      <c r="E129" t="inlineStr">
        <is>
          <t>Redactor</t>
        </is>
      </c>
      <c r="F129" t="inlineStr">
        <is>
          <t>Anuncios internet</t>
        </is>
      </c>
      <c r="G129" t="inlineStr">
        <is>
          <t>Temporal</t>
        </is>
      </c>
      <c r="H129" s="2" t="n">
        <v>45359</v>
      </c>
      <c r="I129" s="2" t="n"/>
      <c r="J129" t="inlineStr">
        <is>
          <t>Activo</t>
        </is>
      </c>
      <c r="K129" s="3" t="n">
        <v>0.75</v>
      </c>
      <c r="L129" s="4" t="n">
        <v>47158</v>
      </c>
      <c r="M129" s="3" t="n">
        <v>0</v>
      </c>
      <c r="N129" s="3" t="n">
        <v>0.306</v>
      </c>
      <c r="O129" s="4">
        <f>ROUND(L129*K129*(1+M129+N129),2)</f>
        <v/>
      </c>
      <c r="P129" t="inlineStr">
        <is>
          <t>Ana Torres</t>
        </is>
      </c>
      <c r="Q129" t="inlineStr">
        <is>
          <t>España</t>
        </is>
      </c>
      <c r="R129" t="inlineStr">
        <is>
          <t>Valencia</t>
        </is>
      </c>
    </row>
    <row r="130">
      <c r="A130" t="inlineStr">
        <is>
          <t>EMP-0129</t>
        </is>
      </c>
      <c r="B130" t="inlineStr">
        <is>
          <t>Alicia</t>
        </is>
      </c>
      <c r="C130" t="inlineStr">
        <is>
          <t>Iglesias</t>
        </is>
      </c>
      <c r="D130" t="inlineStr">
        <is>
          <t>Atención al cliente</t>
        </is>
      </c>
      <c r="E130" t="inlineStr">
        <is>
          <t>Soporte cliente</t>
        </is>
      </c>
      <c r="F130" t="inlineStr">
        <is>
          <t>Publicación de noticias</t>
        </is>
      </c>
      <c r="G130" t="inlineStr">
        <is>
          <t>Indefinido</t>
        </is>
      </c>
      <c r="H130" s="2" t="n">
        <v>44518</v>
      </c>
      <c r="I130" s="2" t="n"/>
      <c r="J130" t="inlineStr">
        <is>
          <t>Activo</t>
        </is>
      </c>
      <c r="K130" s="3" t="n">
        <v>1</v>
      </c>
      <c r="L130" s="4" t="n">
        <v>51324</v>
      </c>
      <c r="M130" s="3" t="n">
        <v>0.03</v>
      </c>
      <c r="N130" s="3" t="n">
        <v>0.331</v>
      </c>
      <c r="O130" s="4">
        <f>ROUND(L130*K130*(1+M130+N130),2)</f>
        <v/>
      </c>
      <c r="P130" t="inlineStr">
        <is>
          <t>Luis Gómez</t>
        </is>
      </c>
      <c r="Q130" t="inlineStr">
        <is>
          <t>España</t>
        </is>
      </c>
      <c r="R130" t="inlineStr">
        <is>
          <t>Barcelona</t>
        </is>
      </c>
    </row>
    <row r="131">
      <c r="A131" t="inlineStr">
        <is>
          <t>EMP-0130</t>
        </is>
      </c>
      <c r="B131" t="inlineStr">
        <is>
          <t>Álex</t>
        </is>
      </c>
      <c r="C131" t="inlineStr">
        <is>
          <t>Ramos</t>
        </is>
      </c>
      <c r="D131" t="inlineStr">
        <is>
          <t>Atención al cliente</t>
        </is>
      </c>
      <c r="E131" t="inlineStr">
        <is>
          <t>Account support</t>
        </is>
      </c>
      <c r="F131" t="inlineStr">
        <is>
          <t>Generación de noticias</t>
        </is>
      </c>
      <c r="G131" t="inlineStr">
        <is>
          <t>Indefinido</t>
        </is>
      </c>
      <c r="H131" s="2" t="n">
        <v>43791</v>
      </c>
      <c r="I131" s="2" t="n"/>
      <c r="J131" t="inlineStr">
        <is>
          <t>Activo</t>
        </is>
      </c>
      <c r="K131" s="3" t="n">
        <v>1</v>
      </c>
      <c r="L131" s="4" t="n">
        <v>27052</v>
      </c>
      <c r="M131" s="3" t="n">
        <v>0</v>
      </c>
      <c r="N131" s="3" t="n">
        <v>0.32</v>
      </c>
      <c r="O131" s="4">
        <f>ROUND(L131*K131*(1+M131+N131),2)</f>
        <v/>
      </c>
      <c r="P131" t="inlineStr">
        <is>
          <t>Silvia Navarro</t>
        </is>
      </c>
      <c r="Q131" t="inlineStr">
        <is>
          <t>España</t>
        </is>
      </c>
      <c r="R131" t="inlineStr">
        <is>
          <t>Valencia</t>
        </is>
      </c>
    </row>
    <row r="132">
      <c r="A132" t="inlineStr">
        <is>
          <t>EMP-0131</t>
        </is>
      </c>
      <c r="B132" t="inlineStr">
        <is>
          <t>Daniel</t>
        </is>
      </c>
      <c r="C132" t="inlineStr">
        <is>
          <t>Martínez</t>
        </is>
      </c>
      <c r="D132" t="inlineStr">
        <is>
          <t>Marketing</t>
        </is>
      </c>
      <c r="E132" t="inlineStr">
        <is>
          <t>Especialista SEM</t>
        </is>
      </c>
      <c r="F132" t="inlineStr">
        <is>
          <t>Mantenimiento web</t>
        </is>
      </c>
      <c r="G132" t="inlineStr">
        <is>
          <t>Freelance</t>
        </is>
      </c>
      <c r="H132" s="2" t="n">
        <v>45463</v>
      </c>
      <c r="I132" s="2" t="n"/>
      <c r="J132" t="inlineStr">
        <is>
          <t>Activo</t>
        </is>
      </c>
      <c r="K132" s="3" t="n">
        <v>0.75</v>
      </c>
      <c r="L132" s="4" t="n">
        <v>55817</v>
      </c>
      <c r="M132" s="3" t="n">
        <v>0.05</v>
      </c>
      <c r="N132" s="3" t="n">
        <v>0.317</v>
      </c>
      <c r="O132" s="4">
        <f>ROUND(L132*K132*(1+M132+N132),2)</f>
        <v/>
      </c>
      <c r="P132" t="inlineStr">
        <is>
          <t>Fernando Ruiz</t>
        </is>
      </c>
      <c r="Q132" t="inlineStr">
        <is>
          <t>México</t>
        </is>
      </c>
      <c r="R132" t="inlineStr">
        <is>
          <t>Ciudad de México</t>
        </is>
      </c>
    </row>
    <row r="133">
      <c r="A133" t="inlineStr">
        <is>
          <t>EMP-0132</t>
        </is>
      </c>
      <c r="B133" t="inlineStr">
        <is>
          <t>Beatriz</t>
        </is>
      </c>
      <c r="C133" t="inlineStr">
        <is>
          <t>Ruiz</t>
        </is>
      </c>
      <c r="D133" t="inlineStr">
        <is>
          <t>Atención al cliente</t>
        </is>
      </c>
      <c r="E133" t="inlineStr">
        <is>
          <t>Soporte cliente</t>
        </is>
      </c>
      <c r="F133" t="inlineStr">
        <is>
          <t>Generación de noticias</t>
        </is>
      </c>
      <c r="G133" t="inlineStr">
        <is>
          <t>Temporal</t>
        </is>
      </c>
      <c r="H133" s="2" t="n">
        <v>44764</v>
      </c>
      <c r="I133" s="2" t="n"/>
      <c r="J133" t="inlineStr">
        <is>
          <t>Activo</t>
        </is>
      </c>
      <c r="K133" s="3" t="n">
        <v>0.5</v>
      </c>
      <c r="L133" s="4" t="n">
        <v>44564</v>
      </c>
      <c r="M133" s="3" t="n">
        <v>0</v>
      </c>
      <c r="N133" s="3" t="n">
        <v>0.289</v>
      </c>
      <c r="O133" s="4">
        <f>ROUND(L133*K133*(1+M133+N133),2)</f>
        <v/>
      </c>
      <c r="P133" t="inlineStr">
        <is>
          <t>Fernando Ruiz</t>
        </is>
      </c>
      <c r="Q133" t="inlineStr">
        <is>
          <t>Portugal</t>
        </is>
      </c>
      <c r="R133" t="inlineStr">
        <is>
          <t>Oporto</t>
        </is>
      </c>
    </row>
    <row r="134">
      <c r="A134" t="inlineStr">
        <is>
          <t>EMP-0133</t>
        </is>
      </c>
      <c r="B134" t="inlineStr">
        <is>
          <t>Alicia</t>
        </is>
      </c>
      <c r="C134" t="inlineStr">
        <is>
          <t>Marín</t>
        </is>
      </c>
      <c r="D134" t="inlineStr">
        <is>
          <t>Finanzas</t>
        </is>
      </c>
      <c r="E134" t="inlineStr">
        <is>
          <t>Analista financiero</t>
        </is>
      </c>
      <c r="F134" t="inlineStr">
        <is>
          <t>Mantenimiento intranets</t>
        </is>
      </c>
      <c r="G134" t="inlineStr">
        <is>
          <t>Indefinido</t>
        </is>
      </c>
      <c r="H134" s="2" t="n">
        <v>44515</v>
      </c>
      <c r="I134" s="2" t="n"/>
      <c r="J134" t="inlineStr">
        <is>
          <t>Activo</t>
        </is>
      </c>
      <c r="K134" s="3" t="n">
        <v>0.75</v>
      </c>
      <c r="L134" s="4" t="n">
        <v>46925</v>
      </c>
      <c r="M134" s="3" t="n">
        <v>0.03</v>
      </c>
      <c r="N134" s="3" t="n">
        <v>0.311</v>
      </c>
      <c r="O134" s="4">
        <f>ROUND(L134*K134*(1+M134+N134),2)</f>
        <v/>
      </c>
      <c r="P134" t="inlineStr">
        <is>
          <t>Patricia Romero</t>
        </is>
      </c>
      <c r="Q134" t="inlineStr">
        <is>
          <t>España</t>
        </is>
      </c>
      <c r="R134" t="inlineStr">
        <is>
          <t>Barcelona</t>
        </is>
      </c>
    </row>
    <row r="135">
      <c r="A135" t="inlineStr">
        <is>
          <t>EMP-0134</t>
        </is>
      </c>
      <c r="B135" t="inlineStr">
        <is>
          <t>Sergio</t>
        </is>
      </c>
      <c r="C135" t="inlineStr">
        <is>
          <t>Pérez</t>
        </is>
      </c>
      <c r="D135" t="inlineStr">
        <is>
          <t>Tecnología</t>
        </is>
      </c>
      <c r="E135" t="inlineStr">
        <is>
          <t>Administrador intranet</t>
        </is>
      </c>
      <c r="F135" t="inlineStr">
        <is>
          <t>Anuncios internet</t>
        </is>
      </c>
      <c r="G135" t="inlineStr">
        <is>
          <t>Indefinido</t>
        </is>
      </c>
      <c r="H135" s="2" t="n">
        <v>44289</v>
      </c>
      <c r="I135" s="2" t="n"/>
      <c r="J135" t="inlineStr">
        <is>
          <t>Activo</t>
        </is>
      </c>
      <c r="K135" s="3" t="n">
        <v>1</v>
      </c>
      <c r="L135" s="4" t="n">
        <v>41734</v>
      </c>
      <c r="M135" s="3" t="n">
        <v>0.12</v>
      </c>
      <c r="N135" s="3" t="n">
        <v>0.334</v>
      </c>
      <c r="O135" s="4">
        <f>ROUND(L135*K135*(1+M135+N135),2)</f>
        <v/>
      </c>
      <c r="P135" t="inlineStr">
        <is>
          <t>Silvia Navarro</t>
        </is>
      </c>
      <c r="Q135" t="inlineStr">
        <is>
          <t>España</t>
        </is>
      </c>
      <c r="R135" t="inlineStr">
        <is>
          <t>Sevilla</t>
        </is>
      </c>
    </row>
    <row r="136">
      <c r="A136" t="inlineStr">
        <is>
          <t>EMP-0135</t>
        </is>
      </c>
      <c r="B136" t="inlineStr">
        <is>
          <t>Noelia</t>
        </is>
      </c>
      <c r="C136" t="inlineStr">
        <is>
          <t>Torres</t>
        </is>
      </c>
      <c r="D136" t="inlineStr">
        <is>
          <t>Marketing</t>
        </is>
      </c>
      <c r="E136" t="inlineStr">
        <is>
          <t>Especialista SEM</t>
        </is>
      </c>
      <c r="F136" t="inlineStr">
        <is>
          <t>Mantenimiento intranets</t>
        </is>
      </c>
      <c r="G136" t="inlineStr">
        <is>
          <t>Indefinido</t>
        </is>
      </c>
      <c r="H136" s="2" t="n">
        <v>44364</v>
      </c>
      <c r="I136" s="2" t="n"/>
      <c r="J136" t="inlineStr">
        <is>
          <t>Activo</t>
        </is>
      </c>
      <c r="K136" s="3" t="n">
        <v>0.5</v>
      </c>
      <c r="L136" s="4" t="n">
        <v>43025</v>
      </c>
      <c r="M136" s="3" t="n">
        <v>0.05</v>
      </c>
      <c r="N136" s="3" t="n">
        <v>0.338</v>
      </c>
      <c r="O136" s="4">
        <f>ROUND(L136*K136*(1+M136+N136),2)</f>
        <v/>
      </c>
      <c r="P136" t="inlineStr">
        <is>
          <t>Silvia Navarro</t>
        </is>
      </c>
      <c r="Q136" t="inlineStr">
        <is>
          <t>México</t>
        </is>
      </c>
      <c r="R136" t="inlineStr">
        <is>
          <t>Guadalajara</t>
        </is>
      </c>
    </row>
    <row r="137">
      <c r="A137" t="inlineStr">
        <is>
          <t>EMP-0136</t>
        </is>
      </c>
      <c r="B137" t="inlineStr">
        <is>
          <t>Cristina</t>
        </is>
      </c>
      <c r="C137" t="inlineStr">
        <is>
          <t>Cano</t>
        </is>
      </c>
      <c r="D137" t="inlineStr">
        <is>
          <t>Marketing</t>
        </is>
      </c>
      <c r="E137" t="inlineStr">
        <is>
          <t>Media planner</t>
        </is>
      </c>
      <c r="F137" t="inlineStr">
        <is>
          <t>Mantenimiento web</t>
        </is>
      </c>
      <c r="G137" t="inlineStr">
        <is>
          <t>Temporal</t>
        </is>
      </c>
      <c r="H137" s="2" t="n">
        <v>45028</v>
      </c>
      <c r="I137" s="2" t="n"/>
      <c r="J137" t="inlineStr">
        <is>
          <t>Activo</t>
        </is>
      </c>
      <c r="K137" s="3" t="n">
        <v>0.5</v>
      </c>
      <c r="L137" s="4" t="n">
        <v>54640</v>
      </c>
      <c r="M137" s="3" t="n">
        <v>0.05</v>
      </c>
      <c r="N137" s="3" t="n">
        <v>0.288</v>
      </c>
      <c r="O137" s="4">
        <f>ROUND(L137*K137*(1+M137+N137),2)</f>
        <v/>
      </c>
      <c r="P137" t="inlineStr">
        <is>
          <t>Jorge Molina</t>
        </is>
      </c>
      <c r="Q137" t="inlineStr">
        <is>
          <t>España</t>
        </is>
      </c>
      <c r="R137" t="inlineStr">
        <is>
          <t>Sevilla</t>
        </is>
      </c>
    </row>
    <row r="138">
      <c r="A138" t="inlineStr">
        <is>
          <t>EMP-0137</t>
        </is>
      </c>
      <c r="B138" t="inlineStr">
        <is>
          <t>Javier</t>
        </is>
      </c>
      <c r="C138" t="inlineStr">
        <is>
          <t>Gil</t>
        </is>
      </c>
      <c r="D138" t="inlineStr">
        <is>
          <t>Marketing</t>
        </is>
      </c>
      <c r="E138" t="inlineStr">
        <is>
          <t>Media planner</t>
        </is>
      </c>
      <c r="F138" t="inlineStr">
        <is>
          <t>Anuncios prensa</t>
        </is>
      </c>
      <c r="G138" t="inlineStr">
        <is>
          <t>Indefinido</t>
        </is>
      </c>
      <c r="H138" s="2" t="n">
        <v>44585</v>
      </c>
      <c r="I138" s="2" t="n"/>
      <c r="J138" t="inlineStr">
        <is>
          <t>Activo</t>
        </is>
      </c>
      <c r="K138" s="3" t="n">
        <v>0.5</v>
      </c>
      <c r="L138" s="4" t="n">
        <v>42789</v>
      </c>
      <c r="M138" s="3" t="n">
        <v>0.05</v>
      </c>
      <c r="N138" s="3" t="n">
        <v>0.326</v>
      </c>
      <c r="O138" s="4">
        <f>ROUND(L138*K138*(1+M138+N138),2)</f>
        <v/>
      </c>
      <c r="P138" t="inlineStr">
        <is>
          <t>Silvia Navarro</t>
        </is>
      </c>
      <c r="Q138" t="inlineStr">
        <is>
          <t>España</t>
        </is>
      </c>
      <c r="R138" t="inlineStr">
        <is>
          <t>Sevilla</t>
        </is>
      </c>
    </row>
    <row r="139">
      <c r="A139" t="inlineStr">
        <is>
          <t>EMP-0138</t>
        </is>
      </c>
      <c r="B139" t="inlineStr">
        <is>
          <t>Adrián</t>
        </is>
      </c>
      <c r="C139" t="inlineStr">
        <is>
          <t>Blanco</t>
        </is>
      </c>
      <c r="D139" t="inlineStr">
        <is>
          <t>Redacción</t>
        </is>
      </c>
      <c r="E139" t="inlineStr">
        <is>
          <t>Content manager</t>
        </is>
      </c>
      <c r="F139" t="inlineStr">
        <is>
          <t>Publicación de noticias</t>
        </is>
      </c>
      <c r="G139" t="inlineStr">
        <is>
          <t>Freelance</t>
        </is>
      </c>
      <c r="H139" s="2" t="n">
        <v>45385</v>
      </c>
      <c r="I139" s="2" t="n"/>
      <c r="J139" t="inlineStr">
        <is>
          <t>Activo</t>
        </is>
      </c>
      <c r="K139" s="3" t="n">
        <v>0.75</v>
      </c>
      <c r="L139" s="4" t="n">
        <v>28522</v>
      </c>
      <c r="M139" s="3" t="n">
        <v>0.08</v>
      </c>
      <c r="N139" s="3" t="n">
        <v>0.311</v>
      </c>
      <c r="O139" s="4">
        <f>ROUND(L139*K139*(1+M139+N139),2)</f>
        <v/>
      </c>
      <c r="P139" t="inlineStr">
        <is>
          <t>Ana Torres</t>
        </is>
      </c>
      <c r="Q139" t="inlineStr">
        <is>
          <t>Chile</t>
        </is>
      </c>
      <c r="R139" t="inlineStr">
        <is>
          <t>Santiago</t>
        </is>
      </c>
    </row>
    <row r="140">
      <c r="A140" t="inlineStr">
        <is>
          <t>EMP-0139</t>
        </is>
      </c>
      <c r="B140" t="inlineStr">
        <is>
          <t>Beatriz</t>
        </is>
      </c>
      <c r="C140" t="inlineStr">
        <is>
          <t>Vázquez</t>
        </is>
      </c>
      <c r="D140" t="inlineStr">
        <is>
          <t>Operaciones</t>
        </is>
      </c>
      <c r="E140" t="inlineStr">
        <is>
          <t>Especialista de cuentas</t>
        </is>
      </c>
      <c r="F140" t="inlineStr">
        <is>
          <t>Mantenimiento web</t>
        </is>
      </c>
      <c r="G140" t="inlineStr">
        <is>
          <t>Indefinido</t>
        </is>
      </c>
      <c r="H140" s="2" t="n">
        <v>45584</v>
      </c>
      <c r="I140" s="2" t="n"/>
      <c r="J140" t="inlineStr">
        <is>
          <t>Activo</t>
        </is>
      </c>
      <c r="K140" s="3" t="n">
        <v>0.75</v>
      </c>
      <c r="L140" s="4" t="n">
        <v>32746</v>
      </c>
      <c r="M140" s="3" t="n">
        <v>0.08</v>
      </c>
      <c r="N140" s="3" t="n">
        <v>0.299</v>
      </c>
      <c r="O140" s="4">
        <f>ROUND(L140*K140*(1+M140+N140),2)</f>
        <v/>
      </c>
      <c r="P140" t="inlineStr">
        <is>
          <t>Silvia Navarro</t>
        </is>
      </c>
      <c r="Q140" t="inlineStr">
        <is>
          <t>España</t>
        </is>
      </c>
      <c r="R140" t="inlineStr">
        <is>
          <t>Valencia</t>
        </is>
      </c>
    </row>
    <row r="141">
      <c r="A141" t="inlineStr">
        <is>
          <t>EMP-0140</t>
        </is>
      </c>
      <c r="B141" t="inlineStr">
        <is>
          <t>Marina</t>
        </is>
      </c>
      <c r="C141" t="inlineStr">
        <is>
          <t>Moreno</t>
        </is>
      </c>
      <c r="D141" t="inlineStr">
        <is>
          <t>Comercial</t>
        </is>
      </c>
      <c r="E141" t="inlineStr">
        <is>
          <t>Business developer</t>
        </is>
      </c>
      <c r="F141" t="inlineStr">
        <is>
          <t>Anuncios RRHH</t>
        </is>
      </c>
      <c r="G141" t="inlineStr">
        <is>
          <t>Indefinido</t>
        </is>
      </c>
      <c r="H141" s="2" t="n">
        <v>43169</v>
      </c>
      <c r="I141" s="2" t="n"/>
      <c r="J141" t="inlineStr">
        <is>
          <t>Activo</t>
        </is>
      </c>
      <c r="K141" s="3" t="n">
        <v>0.5</v>
      </c>
      <c r="L141" s="4" t="n">
        <v>44430</v>
      </c>
      <c r="M141" s="3" t="n">
        <v>0.03</v>
      </c>
      <c r="N141" s="3" t="n">
        <v>0.328</v>
      </c>
      <c r="O141" s="4">
        <f>ROUND(L141*K141*(1+M141+N141),2)</f>
        <v/>
      </c>
      <c r="P141" t="inlineStr">
        <is>
          <t>Jorge Molina</t>
        </is>
      </c>
      <c r="Q141" t="inlineStr">
        <is>
          <t>España</t>
        </is>
      </c>
      <c r="R141" t="inlineStr">
        <is>
          <t>Sevilla</t>
        </is>
      </c>
    </row>
    <row r="142">
      <c r="A142" t="inlineStr">
        <is>
          <t>EMP-0141</t>
        </is>
      </c>
      <c r="B142" t="inlineStr">
        <is>
          <t>Javier</t>
        </is>
      </c>
      <c r="C142" t="inlineStr">
        <is>
          <t>Gil</t>
        </is>
      </c>
      <c r="D142" t="inlineStr">
        <is>
          <t>Operaciones</t>
        </is>
      </c>
      <c r="E142" t="inlineStr">
        <is>
          <t>Project manager</t>
        </is>
      </c>
      <c r="F142" t="inlineStr">
        <is>
          <t>Anuncios internet</t>
        </is>
      </c>
      <c r="G142" t="inlineStr">
        <is>
          <t>Indefinido</t>
        </is>
      </c>
      <c r="H142" s="2" t="n">
        <v>45248</v>
      </c>
      <c r="I142" s="2" t="n"/>
      <c r="J142" t="inlineStr">
        <is>
          <t>Activo</t>
        </is>
      </c>
      <c r="K142" s="3" t="n">
        <v>1</v>
      </c>
      <c r="L142" s="4" t="n">
        <v>47382</v>
      </c>
      <c r="M142" s="3" t="n">
        <v>0.12</v>
      </c>
      <c r="N142" s="3" t="n">
        <v>0.303</v>
      </c>
      <c r="O142" s="4">
        <f>ROUND(L142*K142*(1+M142+N142),2)</f>
        <v/>
      </c>
      <c r="P142" t="inlineStr">
        <is>
          <t>Luis Gómez</t>
        </is>
      </c>
      <c r="Q142" t="inlineStr">
        <is>
          <t>España</t>
        </is>
      </c>
      <c r="R142" t="inlineStr">
        <is>
          <t>Barcelona</t>
        </is>
      </c>
    </row>
    <row r="143">
      <c r="A143" t="inlineStr">
        <is>
          <t>EMP-0142</t>
        </is>
      </c>
      <c r="B143" t="inlineStr">
        <is>
          <t>Alicia</t>
        </is>
      </c>
      <c r="C143" t="inlineStr">
        <is>
          <t>Navarro</t>
        </is>
      </c>
      <c r="D143" t="inlineStr">
        <is>
          <t>Operaciones</t>
        </is>
      </c>
      <c r="E143" t="inlineStr">
        <is>
          <t>Project manager</t>
        </is>
      </c>
      <c r="F143" t="inlineStr">
        <is>
          <t>Traducciones</t>
        </is>
      </c>
      <c r="G143" t="inlineStr">
        <is>
          <t>Indefinido</t>
        </is>
      </c>
      <c r="H143" s="2" t="n">
        <v>43936</v>
      </c>
      <c r="I143" s="2" t="n"/>
      <c r="J143" t="inlineStr">
        <is>
          <t>Activo</t>
        </is>
      </c>
      <c r="K143" s="3" t="n">
        <v>1</v>
      </c>
      <c r="L143" s="4" t="n">
        <v>37453</v>
      </c>
      <c r="M143" s="3" t="n">
        <v>0.12</v>
      </c>
      <c r="N143" s="3" t="n">
        <v>0.331</v>
      </c>
      <c r="O143" s="4">
        <f>ROUND(L143*K143*(1+M143+N143),2)</f>
        <v/>
      </c>
      <c r="P143" t="inlineStr">
        <is>
          <t>Ana Torres</t>
        </is>
      </c>
      <c r="Q143" t="inlineStr">
        <is>
          <t>España</t>
        </is>
      </c>
      <c r="R143" t="inlineStr">
        <is>
          <t>Sevilla</t>
        </is>
      </c>
    </row>
    <row r="144">
      <c r="A144" t="inlineStr">
        <is>
          <t>EMP-0143</t>
        </is>
      </c>
      <c r="B144" t="inlineStr">
        <is>
          <t>Beatriz</t>
        </is>
      </c>
      <c r="C144" t="inlineStr">
        <is>
          <t>Vázquez</t>
        </is>
      </c>
      <c r="D144" t="inlineStr">
        <is>
          <t>Traducción</t>
        </is>
      </c>
      <c r="E144" t="inlineStr">
        <is>
          <t>Localization manager</t>
        </is>
      </c>
      <c r="F144" t="inlineStr">
        <is>
          <t>Anuncios TV</t>
        </is>
      </c>
      <c r="G144" t="inlineStr">
        <is>
          <t>Indefinido</t>
        </is>
      </c>
      <c r="H144" s="2" t="n">
        <v>43810</v>
      </c>
      <c r="I144" s="2" t="n"/>
      <c r="J144" t="inlineStr">
        <is>
          <t>Activo</t>
        </is>
      </c>
      <c r="K144" s="3" t="n">
        <v>1</v>
      </c>
      <c r="L144" s="4" t="n">
        <v>33217</v>
      </c>
      <c r="M144" s="3" t="n">
        <v>0.08</v>
      </c>
      <c r="N144" s="3" t="n">
        <v>0.301</v>
      </c>
      <c r="O144" s="4">
        <f>ROUND(L144*K144*(1+M144+N144),2)</f>
        <v/>
      </c>
      <c r="P144" t="inlineStr">
        <is>
          <t>Jorge Molina</t>
        </is>
      </c>
      <c r="Q144" t="inlineStr">
        <is>
          <t>España</t>
        </is>
      </c>
      <c r="R144" t="inlineStr">
        <is>
          <t>Valencia</t>
        </is>
      </c>
    </row>
    <row r="145">
      <c r="A145" t="inlineStr">
        <is>
          <t>EMP-0144</t>
        </is>
      </c>
      <c r="B145" t="inlineStr">
        <is>
          <t>Rubén</t>
        </is>
      </c>
      <c r="C145" t="inlineStr">
        <is>
          <t>Ramos</t>
        </is>
      </c>
      <c r="D145" t="inlineStr">
        <is>
          <t>Comercial</t>
        </is>
      </c>
      <c r="E145" t="inlineStr">
        <is>
          <t>Sales manager</t>
        </is>
      </c>
      <c r="F145" t="inlineStr">
        <is>
          <t>Anuncios internet</t>
        </is>
      </c>
      <c r="G145" t="inlineStr">
        <is>
          <t>Indefinido</t>
        </is>
      </c>
      <c r="H145" s="2" t="n">
        <v>44320</v>
      </c>
      <c r="I145" s="2" t="n"/>
      <c r="J145" t="inlineStr">
        <is>
          <t>Activo</t>
        </is>
      </c>
      <c r="K145" s="3" t="n">
        <v>0.75</v>
      </c>
      <c r="L145" s="4" t="n">
        <v>54392</v>
      </c>
      <c r="M145" s="3" t="n">
        <v>0.05</v>
      </c>
      <c r="N145" s="3" t="n">
        <v>0.299</v>
      </c>
      <c r="O145" s="4">
        <f>ROUND(L145*K145*(1+M145+N145),2)</f>
        <v/>
      </c>
      <c r="P145" t="inlineStr">
        <is>
          <t>Silvia Navarro</t>
        </is>
      </c>
      <c r="Q145" t="inlineStr">
        <is>
          <t>España</t>
        </is>
      </c>
      <c r="R145" t="inlineStr">
        <is>
          <t>Barcelona</t>
        </is>
      </c>
    </row>
    <row r="146">
      <c r="A146" t="inlineStr">
        <is>
          <t>EMP-0145</t>
        </is>
      </c>
      <c r="B146" t="inlineStr">
        <is>
          <t>Raúl</t>
        </is>
      </c>
      <c r="C146" t="inlineStr">
        <is>
          <t>Morales</t>
        </is>
      </c>
      <c r="D146" t="inlineStr">
        <is>
          <t>Comercial</t>
        </is>
      </c>
      <c r="E146" t="inlineStr">
        <is>
          <t>Business developer</t>
        </is>
      </c>
      <c r="F146" t="inlineStr">
        <is>
          <t>Generación de noticias</t>
        </is>
      </c>
      <c r="G146" t="inlineStr">
        <is>
          <t>Indefinido</t>
        </is>
      </c>
      <c r="H146" s="2" t="n">
        <v>43700</v>
      </c>
      <c r="I146" s="2" t="n"/>
      <c r="J146" t="inlineStr">
        <is>
          <t>Activo</t>
        </is>
      </c>
      <c r="K146" s="3" t="n">
        <v>1</v>
      </c>
      <c r="L146" s="4" t="n">
        <v>50047</v>
      </c>
      <c r="M146" s="3" t="n">
        <v>0.03</v>
      </c>
      <c r="N146" s="3" t="n">
        <v>0.335</v>
      </c>
      <c r="O146" s="4">
        <f>ROUND(L146*K146*(1+M146+N146),2)</f>
        <v/>
      </c>
      <c r="P146" t="inlineStr">
        <is>
          <t>Patricia Romero</t>
        </is>
      </c>
      <c r="Q146" t="inlineStr">
        <is>
          <t>España</t>
        </is>
      </c>
      <c r="R146" t="inlineStr">
        <is>
          <t>Sevilla</t>
        </is>
      </c>
    </row>
    <row r="147">
      <c r="A147" t="inlineStr">
        <is>
          <t>EMP-0146</t>
        </is>
      </c>
      <c r="B147" t="inlineStr">
        <is>
          <t>Gonzalo</t>
        </is>
      </c>
      <c r="C147" t="inlineStr">
        <is>
          <t>Castro</t>
        </is>
      </c>
      <c r="D147" t="inlineStr">
        <is>
          <t>Finanzas</t>
        </is>
      </c>
      <c r="E147" t="inlineStr">
        <is>
          <t>Técnico de facturación</t>
        </is>
      </c>
      <c r="F147" t="inlineStr">
        <is>
          <t>Mantenimiento intranets</t>
        </is>
      </c>
      <c r="G147" t="inlineStr">
        <is>
          <t>Indefinido</t>
        </is>
      </c>
      <c r="H147" s="2" t="n">
        <v>43548</v>
      </c>
      <c r="I147" s="2" t="n"/>
      <c r="J147" t="inlineStr">
        <is>
          <t>Activo</t>
        </is>
      </c>
      <c r="K147" s="3" t="n">
        <v>1</v>
      </c>
      <c r="L147" s="4" t="n">
        <v>29840</v>
      </c>
      <c r="M147" s="3" t="n">
        <v>0</v>
      </c>
      <c r="N147" s="3" t="n">
        <v>0.283</v>
      </c>
      <c r="O147" s="4">
        <f>ROUND(L147*K147*(1+M147+N147),2)</f>
        <v/>
      </c>
      <c r="P147" t="inlineStr">
        <is>
          <t>Luis Gómez</t>
        </is>
      </c>
      <c r="Q147" t="inlineStr">
        <is>
          <t>España</t>
        </is>
      </c>
      <c r="R147" t="inlineStr">
        <is>
          <t>Valencia</t>
        </is>
      </c>
    </row>
    <row r="148">
      <c r="A148" t="inlineStr">
        <is>
          <t>EMP-0147</t>
        </is>
      </c>
      <c r="B148" t="inlineStr">
        <is>
          <t>Beatriz</t>
        </is>
      </c>
      <c r="C148" t="inlineStr">
        <is>
          <t>Sánchez</t>
        </is>
      </c>
      <c r="D148" t="inlineStr">
        <is>
          <t>Tecnología</t>
        </is>
      </c>
      <c r="E148" t="inlineStr">
        <is>
          <t>Desarrollador web</t>
        </is>
      </c>
      <c r="F148" t="inlineStr">
        <is>
          <t>Mantenimiento web</t>
        </is>
      </c>
      <c r="G148" t="inlineStr">
        <is>
          <t>Indefinido</t>
        </is>
      </c>
      <c r="H148" s="2" t="n">
        <v>43664</v>
      </c>
      <c r="I148" s="2" t="n">
        <v>44971</v>
      </c>
      <c r="J148" t="inlineStr">
        <is>
          <t>Baja</t>
        </is>
      </c>
      <c r="K148" s="3" t="n">
        <v>0.75</v>
      </c>
      <c r="L148" s="4" t="n">
        <v>44681</v>
      </c>
      <c r="M148" s="3" t="n">
        <v>0.05</v>
      </c>
      <c r="N148" s="3" t="n">
        <v>0.309</v>
      </c>
      <c r="O148" s="4">
        <f>ROUND(L148*K148*(1+M148+N148),2)</f>
        <v/>
      </c>
      <c r="P148" t="inlineStr">
        <is>
          <t>Patricia Romero</t>
        </is>
      </c>
      <c r="Q148" t="inlineStr">
        <is>
          <t>España</t>
        </is>
      </c>
      <c r="R148" t="inlineStr">
        <is>
          <t>Valencia</t>
        </is>
      </c>
    </row>
    <row r="149">
      <c r="A149" t="inlineStr">
        <is>
          <t>EMP-0148</t>
        </is>
      </c>
      <c r="B149" t="inlineStr">
        <is>
          <t>Marina</t>
        </is>
      </c>
      <c r="C149" t="inlineStr">
        <is>
          <t>Ruiz</t>
        </is>
      </c>
      <c r="D149" t="inlineStr">
        <is>
          <t>Marketing</t>
        </is>
      </c>
      <c r="E149" t="inlineStr">
        <is>
          <t>Especialista SEM</t>
        </is>
      </c>
      <c r="F149" t="inlineStr">
        <is>
          <t>Generación de noticias</t>
        </is>
      </c>
      <c r="G149" t="inlineStr">
        <is>
          <t>Indefinido</t>
        </is>
      </c>
      <c r="H149" s="2" t="n">
        <v>43253</v>
      </c>
      <c r="I149" s="2" t="n"/>
      <c r="J149" t="inlineStr">
        <is>
          <t>Activo</t>
        </is>
      </c>
      <c r="K149" s="3" t="n">
        <v>0.75</v>
      </c>
      <c r="L149" s="4" t="n">
        <v>46920</v>
      </c>
      <c r="M149" s="3" t="n">
        <v>0.12</v>
      </c>
      <c r="N149" s="3" t="n">
        <v>0.291</v>
      </c>
      <c r="O149" s="4">
        <f>ROUND(L149*K149*(1+M149+N149),2)</f>
        <v/>
      </c>
      <c r="P149" t="inlineStr">
        <is>
          <t>Fernando Ruiz</t>
        </is>
      </c>
      <c r="Q149" t="inlineStr">
        <is>
          <t>Portugal</t>
        </is>
      </c>
      <c r="R149" t="inlineStr">
        <is>
          <t>Lisboa</t>
        </is>
      </c>
    </row>
    <row r="150">
      <c r="A150" t="inlineStr">
        <is>
          <t>EMP-0149</t>
        </is>
      </c>
      <c r="B150" t="inlineStr">
        <is>
          <t>Marta</t>
        </is>
      </c>
      <c r="C150" t="inlineStr">
        <is>
          <t>García</t>
        </is>
      </c>
      <c r="D150" t="inlineStr">
        <is>
          <t>Finanzas</t>
        </is>
      </c>
      <c r="E150" t="inlineStr">
        <is>
          <t>Técnico de facturación</t>
        </is>
      </c>
      <c r="F150" t="inlineStr">
        <is>
          <t>Publicación de noticias</t>
        </is>
      </c>
      <c r="G150" t="inlineStr">
        <is>
          <t>Indefinido</t>
        </is>
      </c>
      <c r="H150" s="2" t="n">
        <v>45569</v>
      </c>
      <c r="I150" s="2" t="n"/>
      <c r="J150" t="inlineStr">
        <is>
          <t>Activo</t>
        </is>
      </c>
      <c r="K150" s="3" t="n">
        <v>1</v>
      </c>
      <c r="L150" s="4" t="n">
        <v>31324</v>
      </c>
      <c r="M150" s="3" t="n">
        <v>0.05</v>
      </c>
      <c r="N150" s="3" t="n">
        <v>0.339</v>
      </c>
      <c r="O150" s="4">
        <f>ROUND(L150*K150*(1+M150+N150),2)</f>
        <v/>
      </c>
      <c r="P150" t="inlineStr">
        <is>
          <t>Silvia Navarro</t>
        </is>
      </c>
      <c r="Q150" t="inlineStr">
        <is>
          <t>Chile</t>
        </is>
      </c>
      <c r="R150" t="inlineStr">
        <is>
          <t>Santiago</t>
        </is>
      </c>
    </row>
    <row r="151">
      <c r="A151" t="inlineStr">
        <is>
          <t>EMP-0150</t>
        </is>
      </c>
      <c r="B151" t="inlineStr">
        <is>
          <t>Rubén</t>
        </is>
      </c>
      <c r="C151" t="inlineStr">
        <is>
          <t>Fernández</t>
        </is>
      </c>
      <c r="D151" t="inlineStr">
        <is>
          <t>Finanzas</t>
        </is>
      </c>
      <c r="E151" t="inlineStr">
        <is>
          <t>Analista financiero</t>
        </is>
      </c>
      <c r="F151" t="inlineStr">
        <is>
          <t>Publicación de noticias</t>
        </is>
      </c>
      <c r="G151" t="inlineStr">
        <is>
          <t>Temporal</t>
        </is>
      </c>
      <c r="H151" s="2" t="n">
        <v>44455</v>
      </c>
      <c r="I151" s="2" t="n"/>
      <c r="J151" t="inlineStr">
        <is>
          <t>Activo</t>
        </is>
      </c>
      <c r="K151" s="3" t="n">
        <v>1</v>
      </c>
      <c r="L151" s="4" t="n">
        <v>43243</v>
      </c>
      <c r="M151" s="3" t="n">
        <v>0.03</v>
      </c>
      <c r="N151" s="3" t="n">
        <v>0.323</v>
      </c>
      <c r="O151" s="4">
        <f>ROUND(L151*K151*(1+M151+N151),2)</f>
        <v/>
      </c>
      <c r="P151" t="inlineStr">
        <is>
          <t>Jorge Molina</t>
        </is>
      </c>
      <c r="Q151" t="inlineStr">
        <is>
          <t>Colombia</t>
        </is>
      </c>
      <c r="R151" t="inlineStr">
        <is>
          <t>Medellín</t>
        </is>
      </c>
    </row>
    <row r="152">
      <c r="A152" t="inlineStr">
        <is>
          <t>EMP-0151</t>
        </is>
      </c>
      <c r="B152" t="inlineStr">
        <is>
          <t>Pablo</t>
        </is>
      </c>
      <c r="C152" t="inlineStr">
        <is>
          <t>Serrano</t>
        </is>
      </c>
      <c r="D152" t="inlineStr">
        <is>
          <t>Marketing</t>
        </is>
      </c>
      <c r="E152" t="inlineStr">
        <is>
          <t>Especialista SEM</t>
        </is>
      </c>
      <c r="F152" t="inlineStr">
        <is>
          <t>Generación de noticias</t>
        </is>
      </c>
      <c r="G152" t="inlineStr">
        <is>
          <t>Temporal</t>
        </is>
      </c>
      <c r="H152" s="2" t="n">
        <v>44761</v>
      </c>
      <c r="I152" s="2" t="n"/>
      <c r="J152" t="inlineStr">
        <is>
          <t>Activo</t>
        </is>
      </c>
      <c r="K152" s="3" t="n">
        <v>1</v>
      </c>
      <c r="L152" s="4" t="n">
        <v>37455</v>
      </c>
      <c r="M152" s="3" t="n">
        <v>0.05</v>
      </c>
      <c r="N152" s="3" t="n">
        <v>0.32</v>
      </c>
      <c r="O152" s="4">
        <f>ROUND(L152*K152*(1+M152+N152),2)</f>
        <v/>
      </c>
      <c r="P152" t="inlineStr">
        <is>
          <t>Luis Gómez</t>
        </is>
      </c>
      <c r="Q152" t="inlineStr">
        <is>
          <t>España</t>
        </is>
      </c>
      <c r="R152" t="inlineStr">
        <is>
          <t>Barcelona</t>
        </is>
      </c>
    </row>
    <row r="153">
      <c r="A153" t="inlineStr">
        <is>
          <t>EMP-0152</t>
        </is>
      </c>
      <c r="B153" t="inlineStr">
        <is>
          <t>Natalia</t>
        </is>
      </c>
      <c r="C153" t="inlineStr">
        <is>
          <t>Alonso</t>
        </is>
      </c>
      <c r="D153" t="inlineStr">
        <is>
          <t>Finanzas</t>
        </is>
      </c>
      <c r="E153" t="inlineStr">
        <is>
          <t>Controller</t>
        </is>
      </c>
      <c r="F153" t="inlineStr">
        <is>
          <t>Anuncios RRHH</t>
        </is>
      </c>
      <c r="G153" t="inlineStr">
        <is>
          <t>Indefinido</t>
        </is>
      </c>
      <c r="H153" s="2" t="n">
        <v>44194</v>
      </c>
      <c r="I153" s="2" t="n"/>
      <c r="J153" t="inlineStr">
        <is>
          <t>Activo</t>
        </is>
      </c>
      <c r="K153" s="3" t="n">
        <v>1</v>
      </c>
      <c r="L153" s="4" t="n">
        <v>41086</v>
      </c>
      <c r="M153" s="3" t="n">
        <v>0.1</v>
      </c>
      <c r="N153" s="3" t="n">
        <v>0.314</v>
      </c>
      <c r="O153" s="4">
        <f>ROUND(L153*K153*(1+M153+N153),2)</f>
        <v/>
      </c>
      <c r="P153" t="inlineStr">
        <is>
          <t>Jorge Molina</t>
        </is>
      </c>
      <c r="Q153" t="inlineStr">
        <is>
          <t>Chile</t>
        </is>
      </c>
      <c r="R153" t="inlineStr">
        <is>
          <t>Santiago</t>
        </is>
      </c>
    </row>
    <row r="154">
      <c r="A154" t="inlineStr">
        <is>
          <t>EMP-0153</t>
        </is>
      </c>
      <c r="B154" t="inlineStr">
        <is>
          <t>Óscar</t>
        </is>
      </c>
      <c r="C154" t="inlineStr">
        <is>
          <t>Moreno</t>
        </is>
      </c>
      <c r="D154" t="inlineStr">
        <is>
          <t>Marketing</t>
        </is>
      </c>
      <c r="E154" t="inlineStr">
        <is>
          <t>Media planner</t>
        </is>
      </c>
      <c r="F154" t="inlineStr">
        <is>
          <t>Mantenimiento intranets</t>
        </is>
      </c>
      <c r="G154" t="inlineStr">
        <is>
          <t>Indefinido</t>
        </is>
      </c>
      <c r="H154" s="2" t="n">
        <v>45159</v>
      </c>
      <c r="I154" s="2" t="n"/>
      <c r="J154" t="inlineStr">
        <is>
          <t>Activo</t>
        </is>
      </c>
      <c r="K154" s="3" t="n">
        <v>1</v>
      </c>
      <c r="L154" s="4" t="n">
        <v>49580</v>
      </c>
      <c r="M154" s="3" t="n">
        <v>0.1</v>
      </c>
      <c r="N154" s="3" t="n">
        <v>0.335</v>
      </c>
      <c r="O154" s="4">
        <f>ROUND(L154*K154*(1+M154+N154),2)</f>
        <v/>
      </c>
      <c r="P154" t="inlineStr">
        <is>
          <t>Patricia Romero</t>
        </is>
      </c>
      <c r="Q154" t="inlineStr">
        <is>
          <t>España</t>
        </is>
      </c>
      <c r="R154" t="inlineStr">
        <is>
          <t>Madrid</t>
        </is>
      </c>
    </row>
    <row r="155">
      <c r="A155" t="inlineStr">
        <is>
          <t>EMP-0154</t>
        </is>
      </c>
      <c r="B155" t="inlineStr">
        <is>
          <t>Diego</t>
        </is>
      </c>
      <c r="C155" t="inlineStr">
        <is>
          <t>Torres</t>
        </is>
      </c>
      <c r="D155" t="inlineStr">
        <is>
          <t>Tecnología</t>
        </is>
      </c>
      <c r="E155" t="inlineStr">
        <is>
          <t>QA web</t>
        </is>
      </c>
      <c r="F155" t="inlineStr">
        <is>
          <t>Mantenimiento intranets</t>
        </is>
      </c>
      <c r="G155" t="inlineStr">
        <is>
          <t>Temporal</t>
        </is>
      </c>
      <c r="H155" s="2" t="n">
        <v>45582</v>
      </c>
      <c r="I155" s="2" t="n"/>
      <c r="J155" t="inlineStr">
        <is>
          <t>Activo</t>
        </is>
      </c>
      <c r="K155" s="3" t="n">
        <v>1</v>
      </c>
      <c r="L155" s="4" t="n">
        <v>59767</v>
      </c>
      <c r="M155" s="3" t="n">
        <v>0.12</v>
      </c>
      <c r="N155" s="3" t="n">
        <v>0.312</v>
      </c>
      <c r="O155" s="4">
        <f>ROUND(L155*K155*(1+M155+N155),2)</f>
        <v/>
      </c>
      <c r="P155" t="inlineStr">
        <is>
          <t>Luis Gómez</t>
        </is>
      </c>
      <c r="Q155" t="inlineStr">
        <is>
          <t>Chile</t>
        </is>
      </c>
      <c r="R155" t="inlineStr">
        <is>
          <t>Santiago</t>
        </is>
      </c>
    </row>
    <row r="156">
      <c r="A156" t="inlineStr">
        <is>
          <t>EMP-0155</t>
        </is>
      </c>
      <c r="B156" t="inlineStr">
        <is>
          <t>Sofía</t>
        </is>
      </c>
      <c r="C156" t="inlineStr">
        <is>
          <t>Iglesias</t>
        </is>
      </c>
      <c r="D156" t="inlineStr">
        <is>
          <t>Tecnología</t>
        </is>
      </c>
      <c r="E156" t="inlineStr">
        <is>
          <t>Administrador intranet</t>
        </is>
      </c>
      <c r="F156" t="inlineStr">
        <is>
          <t>Traducciones</t>
        </is>
      </c>
      <c r="G156" t="inlineStr">
        <is>
          <t>Indefinido</t>
        </is>
      </c>
      <c r="H156" s="2" t="n">
        <v>43353</v>
      </c>
      <c r="I156" s="2" t="n"/>
      <c r="J156" t="inlineStr">
        <is>
          <t>Activo</t>
        </is>
      </c>
      <c r="K156" s="3" t="n">
        <v>1</v>
      </c>
      <c r="L156" s="4" t="n">
        <v>37315</v>
      </c>
      <c r="M156" s="3" t="n">
        <v>0.08</v>
      </c>
      <c r="N156" s="3" t="n">
        <v>0.289</v>
      </c>
      <c r="O156" s="4">
        <f>ROUND(L156*K156*(1+M156+N156),2)</f>
        <v/>
      </c>
      <c r="P156" t="inlineStr">
        <is>
          <t>Silvia Navarro</t>
        </is>
      </c>
      <c r="Q156" t="inlineStr">
        <is>
          <t>España</t>
        </is>
      </c>
      <c r="R156" t="inlineStr">
        <is>
          <t>Valencia</t>
        </is>
      </c>
    </row>
    <row r="157">
      <c r="A157" t="inlineStr">
        <is>
          <t>EMP-0156</t>
        </is>
      </c>
      <c r="B157" t="inlineStr">
        <is>
          <t>Daniel</t>
        </is>
      </c>
      <c r="C157" t="inlineStr">
        <is>
          <t>Cano</t>
        </is>
      </c>
      <c r="D157" t="inlineStr">
        <is>
          <t>Finanzas</t>
        </is>
      </c>
      <c r="E157" t="inlineStr">
        <is>
          <t>Técnico de facturación</t>
        </is>
      </c>
      <c r="F157" t="inlineStr">
        <is>
          <t>Traducciones</t>
        </is>
      </c>
      <c r="G157" t="inlineStr">
        <is>
          <t>Indefinido</t>
        </is>
      </c>
      <c r="H157" s="2" t="n">
        <v>43328</v>
      </c>
      <c r="I157" s="2" t="n"/>
      <c r="J157" t="inlineStr">
        <is>
          <t>Activo</t>
        </is>
      </c>
      <c r="K157" s="3" t="n">
        <v>1</v>
      </c>
      <c r="L157" s="4" t="n">
        <v>35612</v>
      </c>
      <c r="M157" s="3" t="n">
        <v>0.05</v>
      </c>
      <c r="N157" s="3" t="n">
        <v>0.314</v>
      </c>
      <c r="O157" s="4">
        <f>ROUND(L157*K157*(1+M157+N157),2)</f>
        <v/>
      </c>
      <c r="P157" t="inlineStr">
        <is>
          <t>Fernando Ruiz</t>
        </is>
      </c>
      <c r="Q157" t="inlineStr">
        <is>
          <t>México</t>
        </is>
      </c>
      <c r="R157" t="inlineStr">
        <is>
          <t>Guadalajara</t>
        </is>
      </c>
    </row>
    <row r="158">
      <c r="A158" t="inlineStr">
        <is>
          <t>EMP-0157</t>
        </is>
      </c>
      <c r="B158" t="inlineStr">
        <is>
          <t>Miguel</t>
        </is>
      </c>
      <c r="C158" t="inlineStr">
        <is>
          <t>Gil</t>
        </is>
      </c>
      <c r="D158" t="inlineStr">
        <is>
          <t>Comercial</t>
        </is>
      </c>
      <c r="E158" t="inlineStr">
        <is>
          <t>Sales manager</t>
        </is>
      </c>
      <c r="F158" t="inlineStr">
        <is>
          <t>Mantenimiento web</t>
        </is>
      </c>
      <c r="G158" t="inlineStr">
        <is>
          <t>Indefinido</t>
        </is>
      </c>
      <c r="H158" s="2" t="n">
        <v>44836</v>
      </c>
      <c r="I158" s="2" t="n"/>
      <c r="J158" t="inlineStr">
        <is>
          <t>Activo</t>
        </is>
      </c>
      <c r="K158" s="3" t="n">
        <v>0.5</v>
      </c>
      <c r="L158" s="4" t="n">
        <v>44225</v>
      </c>
      <c r="M158" s="3" t="n">
        <v>0</v>
      </c>
      <c r="N158" s="3" t="n">
        <v>0.339</v>
      </c>
      <c r="O158" s="4">
        <f>ROUND(L158*K158*(1+M158+N158),2)</f>
        <v/>
      </c>
      <c r="P158" t="inlineStr">
        <is>
          <t>Ana Torres</t>
        </is>
      </c>
      <c r="Q158" t="inlineStr">
        <is>
          <t>España</t>
        </is>
      </c>
      <c r="R158" t="inlineStr">
        <is>
          <t>Madrid</t>
        </is>
      </c>
    </row>
    <row r="159">
      <c r="A159" t="inlineStr">
        <is>
          <t>EMP-0158</t>
        </is>
      </c>
      <c r="B159" t="inlineStr">
        <is>
          <t>Nuria</t>
        </is>
      </c>
      <c r="C159" t="inlineStr">
        <is>
          <t>Romero</t>
        </is>
      </c>
      <c r="D159" t="inlineStr">
        <is>
          <t>Comercial</t>
        </is>
      </c>
      <c r="E159" t="inlineStr">
        <is>
          <t>Business developer</t>
        </is>
      </c>
      <c r="F159" t="inlineStr">
        <is>
          <t>Anuncios prensa</t>
        </is>
      </c>
      <c r="G159" t="inlineStr">
        <is>
          <t>Freelance</t>
        </is>
      </c>
      <c r="H159" s="2" t="n">
        <v>44667</v>
      </c>
      <c r="I159" s="2" t="n"/>
      <c r="J159" t="inlineStr">
        <is>
          <t>Activo</t>
        </is>
      </c>
      <c r="K159" s="3" t="n">
        <v>1</v>
      </c>
      <c r="L159" s="4" t="n">
        <v>38966</v>
      </c>
      <c r="M159" s="3" t="n">
        <v>0.1</v>
      </c>
      <c r="N159" s="3" t="n">
        <v>0.338</v>
      </c>
      <c r="O159" s="4">
        <f>ROUND(L159*K159*(1+M159+N159),2)</f>
        <v/>
      </c>
      <c r="P159" t="inlineStr">
        <is>
          <t>Luis Gómez</t>
        </is>
      </c>
      <c r="Q159" t="inlineStr">
        <is>
          <t>España</t>
        </is>
      </c>
      <c r="R159" t="inlineStr">
        <is>
          <t>Barcelona</t>
        </is>
      </c>
    </row>
    <row r="160">
      <c r="A160" t="inlineStr">
        <is>
          <t>EMP-0159</t>
        </is>
      </c>
      <c r="B160" t="inlineStr">
        <is>
          <t>David</t>
        </is>
      </c>
      <c r="C160" t="inlineStr">
        <is>
          <t>Pérez</t>
        </is>
      </c>
      <c r="D160" t="inlineStr">
        <is>
          <t>Marketing</t>
        </is>
      </c>
      <c r="E160" t="inlineStr">
        <is>
          <t>Media planner</t>
        </is>
      </c>
      <c r="F160" t="inlineStr">
        <is>
          <t>Traducciones</t>
        </is>
      </c>
      <c r="G160" t="inlineStr">
        <is>
          <t>Temporal</t>
        </is>
      </c>
      <c r="H160" s="2" t="n">
        <v>44013</v>
      </c>
      <c r="I160" s="2" t="n"/>
      <c r="J160" t="inlineStr">
        <is>
          <t>Activo</t>
        </is>
      </c>
      <c r="K160" s="3" t="n">
        <v>0.5</v>
      </c>
      <c r="L160" s="4" t="n">
        <v>39568</v>
      </c>
      <c r="M160" s="3" t="n">
        <v>0.1</v>
      </c>
      <c r="N160" s="3" t="n">
        <v>0.323</v>
      </c>
      <c r="O160" s="4">
        <f>ROUND(L160*K160*(1+M160+N160),2)</f>
        <v/>
      </c>
      <c r="P160" t="inlineStr">
        <is>
          <t>Silvia Navarro</t>
        </is>
      </c>
      <c r="Q160" t="inlineStr">
        <is>
          <t>España</t>
        </is>
      </c>
      <c r="R160" t="inlineStr">
        <is>
          <t>Sevilla</t>
        </is>
      </c>
    </row>
    <row r="161">
      <c r="A161" t="inlineStr">
        <is>
          <t>EMP-0160</t>
        </is>
      </c>
      <c r="B161" t="inlineStr">
        <is>
          <t>Diego</t>
        </is>
      </c>
      <c r="C161" t="inlineStr">
        <is>
          <t>Díaz</t>
        </is>
      </c>
      <c r="D161" t="inlineStr">
        <is>
          <t>RRHH</t>
        </is>
      </c>
      <c r="E161" t="inlineStr">
        <is>
          <t>Especialista RRHH</t>
        </is>
      </c>
      <c r="F161" t="inlineStr">
        <is>
          <t>Mantenimiento intranets</t>
        </is>
      </c>
      <c r="G161" t="inlineStr">
        <is>
          <t>Indefinido</t>
        </is>
      </c>
      <c r="H161" s="2" t="n">
        <v>43563</v>
      </c>
      <c r="I161" s="2" t="n">
        <v>44601</v>
      </c>
      <c r="J161" t="inlineStr">
        <is>
          <t>Baja</t>
        </is>
      </c>
      <c r="K161" s="3" t="n">
        <v>1</v>
      </c>
      <c r="L161" s="4" t="n">
        <v>47102</v>
      </c>
      <c r="M161" s="3" t="n">
        <v>0</v>
      </c>
      <c r="N161" s="3" t="n">
        <v>0.294</v>
      </c>
      <c r="O161" s="4">
        <f>ROUND(L161*K161*(1+M161+N161),2)</f>
        <v/>
      </c>
      <c r="P161" t="inlineStr">
        <is>
          <t>Ana Torres</t>
        </is>
      </c>
      <c r="Q161" t="inlineStr">
        <is>
          <t>España</t>
        </is>
      </c>
      <c r="R161" t="inlineStr">
        <is>
          <t>Valencia</t>
        </is>
      </c>
    </row>
    <row r="162">
      <c r="A162" t="inlineStr">
        <is>
          <t>EMP-0161</t>
        </is>
      </c>
      <c r="B162" t="inlineStr">
        <is>
          <t>Sergio</t>
        </is>
      </c>
      <c r="C162" t="inlineStr">
        <is>
          <t>Suárez</t>
        </is>
      </c>
      <c r="D162" t="inlineStr">
        <is>
          <t>Operaciones</t>
        </is>
      </c>
      <c r="E162" t="inlineStr">
        <is>
          <t>Coordinador de operaciones</t>
        </is>
      </c>
      <c r="F162" t="inlineStr">
        <is>
          <t>Anuncios internet</t>
        </is>
      </c>
      <c r="G162" t="inlineStr">
        <is>
          <t>Indefinido</t>
        </is>
      </c>
      <c r="H162" s="2" t="n">
        <v>44898</v>
      </c>
      <c r="I162" s="2" t="n"/>
      <c r="J162" t="inlineStr">
        <is>
          <t>Activo</t>
        </is>
      </c>
      <c r="K162" s="3" t="n">
        <v>0.75</v>
      </c>
      <c r="L162" s="4" t="n">
        <v>46719</v>
      </c>
      <c r="M162" s="3" t="n">
        <v>0.12</v>
      </c>
      <c r="N162" s="3" t="n">
        <v>0.327</v>
      </c>
      <c r="O162" s="4">
        <f>ROUND(L162*K162*(1+M162+N162),2)</f>
        <v/>
      </c>
      <c r="P162" t="inlineStr">
        <is>
          <t>Silvia Navarro</t>
        </is>
      </c>
      <c r="Q162" t="inlineStr">
        <is>
          <t>España</t>
        </is>
      </c>
      <c r="R162" t="inlineStr">
        <is>
          <t>Madrid</t>
        </is>
      </c>
    </row>
    <row r="163">
      <c r="A163" t="inlineStr">
        <is>
          <t>EMP-0162</t>
        </is>
      </c>
      <c r="B163" t="inlineStr">
        <is>
          <t>Marina</t>
        </is>
      </c>
      <c r="C163" t="inlineStr">
        <is>
          <t>Serrano</t>
        </is>
      </c>
      <c r="D163" t="inlineStr">
        <is>
          <t>Comercial</t>
        </is>
      </c>
      <c r="E163" t="inlineStr">
        <is>
          <t>Sales manager</t>
        </is>
      </c>
      <c r="F163" t="inlineStr">
        <is>
          <t>Mantenimiento intranets</t>
        </is>
      </c>
      <c r="G163" t="inlineStr">
        <is>
          <t>Temporal</t>
        </is>
      </c>
      <c r="H163" s="2" t="n">
        <v>44414</v>
      </c>
      <c r="I163" s="2" t="n"/>
      <c r="J163" t="inlineStr">
        <is>
          <t>Activo</t>
        </is>
      </c>
      <c r="K163" s="3" t="n">
        <v>0.75</v>
      </c>
      <c r="L163" s="4" t="n">
        <v>51903</v>
      </c>
      <c r="M163" s="3" t="n">
        <v>0</v>
      </c>
      <c r="N163" s="3" t="n">
        <v>0.305</v>
      </c>
      <c r="O163" s="4">
        <f>ROUND(L163*K163*(1+M163+N163),2)</f>
        <v/>
      </c>
      <c r="P163" t="inlineStr">
        <is>
          <t>Ana Torres</t>
        </is>
      </c>
      <c r="Q163" t="inlineStr">
        <is>
          <t>México</t>
        </is>
      </c>
      <c r="R163" t="inlineStr">
        <is>
          <t>Guadalajara</t>
        </is>
      </c>
    </row>
    <row r="164">
      <c r="A164" t="inlineStr">
        <is>
          <t>EMP-0163</t>
        </is>
      </c>
      <c r="B164" t="inlineStr">
        <is>
          <t>Gonzalo</t>
        </is>
      </c>
      <c r="C164" t="inlineStr">
        <is>
          <t>Domínguez</t>
        </is>
      </c>
      <c r="D164" t="inlineStr">
        <is>
          <t>Atención al cliente</t>
        </is>
      </c>
      <c r="E164" t="inlineStr">
        <is>
          <t>Soporte cliente</t>
        </is>
      </c>
      <c r="F164" t="inlineStr">
        <is>
          <t>Publicación de noticias</t>
        </is>
      </c>
      <c r="G164" t="inlineStr">
        <is>
          <t>Indefinido</t>
        </is>
      </c>
      <c r="H164" s="2" t="n">
        <v>44511</v>
      </c>
      <c r="I164" s="2" t="n"/>
      <c r="J164" t="inlineStr">
        <is>
          <t>Activo</t>
        </is>
      </c>
      <c r="K164" s="3" t="n">
        <v>1</v>
      </c>
      <c r="L164" s="4" t="n">
        <v>47749</v>
      </c>
      <c r="M164" s="3" t="n">
        <v>0.08</v>
      </c>
      <c r="N164" s="3" t="n">
        <v>0.299</v>
      </c>
      <c r="O164" s="4">
        <f>ROUND(L164*K164*(1+M164+N164),2)</f>
        <v/>
      </c>
      <c r="P164" t="inlineStr">
        <is>
          <t>Fernando Ruiz</t>
        </is>
      </c>
      <c r="Q164" t="inlineStr">
        <is>
          <t>Portugal</t>
        </is>
      </c>
      <c r="R164" t="inlineStr">
        <is>
          <t>Oporto</t>
        </is>
      </c>
    </row>
    <row r="165">
      <c r="A165" t="inlineStr">
        <is>
          <t>EMP-0164</t>
        </is>
      </c>
      <c r="B165" t="inlineStr">
        <is>
          <t>Sergio</t>
        </is>
      </c>
      <c r="C165" t="inlineStr">
        <is>
          <t>Marín</t>
        </is>
      </c>
      <c r="D165" t="inlineStr">
        <is>
          <t>Traducción</t>
        </is>
      </c>
      <c r="E165" t="inlineStr">
        <is>
          <t>Localization manager</t>
        </is>
      </c>
      <c r="F165" t="inlineStr">
        <is>
          <t>Generación de noticias</t>
        </is>
      </c>
      <c r="G165" t="inlineStr">
        <is>
          <t>Indefinido</t>
        </is>
      </c>
      <c r="H165" s="2" t="n">
        <v>43692</v>
      </c>
      <c r="I165" s="2" t="n"/>
      <c r="J165" t="inlineStr">
        <is>
          <t>Activo</t>
        </is>
      </c>
      <c r="K165" s="3" t="n">
        <v>0.5</v>
      </c>
      <c r="L165" s="4" t="n">
        <v>40428</v>
      </c>
      <c r="M165" s="3" t="n">
        <v>0.05</v>
      </c>
      <c r="N165" s="3" t="n">
        <v>0.338</v>
      </c>
      <c r="O165" s="4">
        <f>ROUND(L165*K165*(1+M165+N165),2)</f>
        <v/>
      </c>
      <c r="P165" t="inlineStr">
        <is>
          <t>Silvia Navarro</t>
        </is>
      </c>
      <c r="Q165" t="inlineStr">
        <is>
          <t>España</t>
        </is>
      </c>
      <c r="R165" t="inlineStr">
        <is>
          <t>Sevilla</t>
        </is>
      </c>
    </row>
    <row r="166">
      <c r="A166" t="inlineStr">
        <is>
          <t>EMP-0165</t>
        </is>
      </c>
      <c r="B166" t="inlineStr">
        <is>
          <t>Marcos</t>
        </is>
      </c>
      <c r="C166" t="inlineStr">
        <is>
          <t>Ortega</t>
        </is>
      </c>
      <c r="D166" t="inlineStr">
        <is>
          <t>Traducción</t>
        </is>
      </c>
      <c r="E166" t="inlineStr">
        <is>
          <t>Traductor</t>
        </is>
      </c>
      <c r="F166" t="inlineStr">
        <is>
          <t>Anuncios prensa</t>
        </is>
      </c>
      <c r="G166" t="inlineStr">
        <is>
          <t>Indefinido</t>
        </is>
      </c>
      <c r="H166" s="2" t="n">
        <v>44943</v>
      </c>
      <c r="I166" s="2" t="n"/>
      <c r="J166" t="inlineStr">
        <is>
          <t>Activo</t>
        </is>
      </c>
      <c r="K166" s="3" t="n">
        <v>0.5</v>
      </c>
      <c r="L166" s="4" t="n">
        <v>39551</v>
      </c>
      <c r="M166" s="3" t="n">
        <v>0.1</v>
      </c>
      <c r="N166" s="3" t="n">
        <v>0.33</v>
      </c>
      <c r="O166" s="4">
        <f>ROUND(L166*K166*(1+M166+N166),2)</f>
        <v/>
      </c>
      <c r="P166" t="inlineStr">
        <is>
          <t>Patricia Romero</t>
        </is>
      </c>
      <c r="Q166" t="inlineStr">
        <is>
          <t>España</t>
        </is>
      </c>
      <c r="R166" t="inlineStr">
        <is>
          <t>Barcelona</t>
        </is>
      </c>
    </row>
    <row r="167">
      <c r="A167" t="inlineStr">
        <is>
          <t>EMP-0166</t>
        </is>
      </c>
      <c r="B167" t="inlineStr">
        <is>
          <t>Joel</t>
        </is>
      </c>
      <c r="C167" t="inlineStr">
        <is>
          <t>Suárez</t>
        </is>
      </c>
      <c r="D167" t="inlineStr">
        <is>
          <t>RRHH</t>
        </is>
      </c>
      <c r="E167" t="inlineStr">
        <is>
          <t>Especialista RRHH</t>
        </is>
      </c>
      <c r="F167" t="inlineStr">
        <is>
          <t>Mantenimiento web</t>
        </is>
      </c>
      <c r="G167" t="inlineStr">
        <is>
          <t>Indefinido</t>
        </is>
      </c>
      <c r="H167" s="2" t="n">
        <v>43989</v>
      </c>
      <c r="I167" s="2" t="n"/>
      <c r="J167" t="inlineStr">
        <is>
          <t>Activo</t>
        </is>
      </c>
      <c r="K167" s="3" t="n">
        <v>1</v>
      </c>
      <c r="L167" s="4" t="n">
        <v>31934</v>
      </c>
      <c r="M167" s="3" t="n">
        <v>0</v>
      </c>
      <c r="N167" s="3" t="n">
        <v>0.293</v>
      </c>
      <c r="O167" s="4">
        <f>ROUND(L167*K167*(1+M167+N167),2)</f>
        <v/>
      </c>
      <c r="P167" t="inlineStr">
        <is>
          <t>Jorge Molina</t>
        </is>
      </c>
      <c r="Q167" t="inlineStr">
        <is>
          <t>Colombia</t>
        </is>
      </c>
      <c r="R167" t="inlineStr">
        <is>
          <t>Bogotá</t>
        </is>
      </c>
    </row>
    <row r="168">
      <c r="A168" t="inlineStr">
        <is>
          <t>EMP-0167</t>
        </is>
      </c>
      <c r="B168" t="inlineStr">
        <is>
          <t>Raúl</t>
        </is>
      </c>
      <c r="C168" t="inlineStr">
        <is>
          <t>Iglesias</t>
        </is>
      </c>
      <c r="D168" t="inlineStr">
        <is>
          <t>Redacción</t>
        </is>
      </c>
      <c r="E168" t="inlineStr">
        <is>
          <t>Editor</t>
        </is>
      </c>
      <c r="F168" t="inlineStr">
        <is>
          <t>Anuncios internet</t>
        </is>
      </c>
      <c r="G168" t="inlineStr">
        <is>
          <t>Indefinido</t>
        </is>
      </c>
      <c r="H168" s="2" t="n">
        <v>44418</v>
      </c>
      <c r="I168" s="2" t="n"/>
      <c r="J168" t="inlineStr">
        <is>
          <t>Activo</t>
        </is>
      </c>
      <c r="K168" s="3" t="n">
        <v>1</v>
      </c>
      <c r="L168" s="4" t="n">
        <v>37278</v>
      </c>
      <c r="M168" s="3" t="n">
        <v>0.08</v>
      </c>
      <c r="N168" s="3" t="n">
        <v>0.319</v>
      </c>
      <c r="O168" s="4">
        <f>ROUND(L168*K168*(1+M168+N168),2)</f>
        <v/>
      </c>
      <c r="P168" t="inlineStr">
        <is>
          <t>Patricia Romero</t>
        </is>
      </c>
      <c r="Q168" t="inlineStr">
        <is>
          <t>Colombia</t>
        </is>
      </c>
      <c r="R168" t="inlineStr">
        <is>
          <t>Bogotá</t>
        </is>
      </c>
    </row>
    <row r="169">
      <c r="A169" t="inlineStr">
        <is>
          <t>EMP-0168</t>
        </is>
      </c>
      <c r="B169" t="inlineStr">
        <is>
          <t>Paula</t>
        </is>
      </c>
      <c r="C169" t="inlineStr">
        <is>
          <t>Blanco</t>
        </is>
      </c>
      <c r="D169" t="inlineStr">
        <is>
          <t>Marketing</t>
        </is>
      </c>
      <c r="E169" t="inlineStr">
        <is>
          <t>Especialista SEM</t>
        </is>
      </c>
      <c r="F169" t="inlineStr">
        <is>
          <t>Anuncios TV</t>
        </is>
      </c>
      <c r="G169" t="inlineStr">
        <is>
          <t>Freelance</t>
        </is>
      </c>
      <c r="H169" s="2" t="n">
        <v>45024</v>
      </c>
      <c r="I169" s="2" t="n"/>
      <c r="J169" t="inlineStr">
        <is>
          <t>Activo</t>
        </is>
      </c>
      <c r="K169" s="3" t="n">
        <v>1</v>
      </c>
      <c r="L169" s="4" t="n">
        <v>57624</v>
      </c>
      <c r="M169" s="3" t="n">
        <v>0.03</v>
      </c>
      <c r="N169" s="3" t="n">
        <v>0.299</v>
      </c>
      <c r="O169" s="4">
        <f>ROUND(L169*K169*(1+M169+N169),2)</f>
        <v/>
      </c>
      <c r="P169" t="inlineStr">
        <is>
          <t>Silvia Navarro</t>
        </is>
      </c>
      <c r="Q169" t="inlineStr">
        <is>
          <t>Colombia</t>
        </is>
      </c>
      <c r="R169" t="inlineStr">
        <is>
          <t>Medellín</t>
        </is>
      </c>
    </row>
    <row r="170">
      <c r="A170" t="inlineStr">
        <is>
          <t>EMP-0169</t>
        </is>
      </c>
      <c r="B170" t="inlineStr">
        <is>
          <t>Claudia</t>
        </is>
      </c>
      <c r="C170" t="inlineStr">
        <is>
          <t>Pérez</t>
        </is>
      </c>
      <c r="D170" t="inlineStr">
        <is>
          <t>Tecnología</t>
        </is>
      </c>
      <c r="E170" t="inlineStr">
        <is>
          <t>Administrador intranet</t>
        </is>
      </c>
      <c r="F170" t="inlineStr">
        <is>
          <t>Publicación de noticias</t>
        </is>
      </c>
      <c r="G170" t="inlineStr">
        <is>
          <t>Indefinido</t>
        </is>
      </c>
      <c r="H170" s="2" t="n">
        <v>44043</v>
      </c>
      <c r="I170" s="2" t="n"/>
      <c r="J170" t="inlineStr">
        <is>
          <t>Activo</t>
        </is>
      </c>
      <c r="K170" s="3" t="n">
        <v>0.75</v>
      </c>
      <c r="L170" s="4" t="n">
        <v>46871</v>
      </c>
      <c r="M170" s="3" t="n">
        <v>0.1</v>
      </c>
      <c r="N170" s="3" t="n">
        <v>0.337</v>
      </c>
      <c r="O170" s="4">
        <f>ROUND(L170*K170*(1+M170+N170),2)</f>
        <v/>
      </c>
      <c r="P170" t="inlineStr">
        <is>
          <t>Patricia Romero</t>
        </is>
      </c>
      <c r="Q170" t="inlineStr">
        <is>
          <t>España</t>
        </is>
      </c>
      <c r="R170" t="inlineStr">
        <is>
          <t>Sevilla</t>
        </is>
      </c>
    </row>
    <row r="171">
      <c r="A171" t="inlineStr">
        <is>
          <t>EMP-0170</t>
        </is>
      </c>
      <c r="B171" t="inlineStr">
        <is>
          <t>Elena</t>
        </is>
      </c>
      <c r="C171" t="inlineStr">
        <is>
          <t>Pérez</t>
        </is>
      </c>
      <c r="D171" t="inlineStr">
        <is>
          <t>Finanzas</t>
        </is>
      </c>
      <c r="E171" t="inlineStr">
        <is>
          <t>Analista financiero</t>
        </is>
      </c>
      <c r="F171" t="inlineStr">
        <is>
          <t>Anuncios internet</t>
        </is>
      </c>
      <c r="G171" t="inlineStr">
        <is>
          <t>Temporal</t>
        </is>
      </c>
      <c r="H171" s="2" t="n">
        <v>45101</v>
      </c>
      <c r="I171" s="2" t="n"/>
      <c r="J171" t="inlineStr">
        <is>
          <t>Activo</t>
        </is>
      </c>
      <c r="K171" s="3" t="n">
        <v>1</v>
      </c>
      <c r="L171" s="4" t="n">
        <v>43030</v>
      </c>
      <c r="M171" s="3" t="n">
        <v>0</v>
      </c>
      <c r="N171" s="3" t="n">
        <v>0.311</v>
      </c>
      <c r="O171" s="4">
        <f>ROUND(L171*K171*(1+M171+N171),2)</f>
        <v/>
      </c>
      <c r="P171" t="inlineStr">
        <is>
          <t>Jorge Molina</t>
        </is>
      </c>
      <c r="Q171" t="inlineStr">
        <is>
          <t>España</t>
        </is>
      </c>
      <c r="R171" t="inlineStr">
        <is>
          <t>Valencia</t>
        </is>
      </c>
    </row>
    <row r="172">
      <c r="A172" t="inlineStr">
        <is>
          <t>EMP-0171</t>
        </is>
      </c>
      <c r="B172" t="inlineStr">
        <is>
          <t>Sofía</t>
        </is>
      </c>
      <c r="C172" t="inlineStr">
        <is>
          <t>Castro</t>
        </is>
      </c>
      <c r="D172" t="inlineStr">
        <is>
          <t>Operaciones</t>
        </is>
      </c>
      <c r="E172" t="inlineStr">
        <is>
          <t>Project manager</t>
        </is>
      </c>
      <c r="F172" t="inlineStr">
        <is>
          <t>Mantenimiento web</t>
        </is>
      </c>
      <c r="G172" t="inlineStr">
        <is>
          <t>Indefinido</t>
        </is>
      </c>
      <c r="H172" s="2" t="n">
        <v>43996</v>
      </c>
      <c r="I172" s="2" t="n"/>
      <c r="J172" t="inlineStr">
        <is>
          <t>Activo</t>
        </is>
      </c>
      <c r="K172" s="3" t="n">
        <v>1</v>
      </c>
      <c r="L172" s="4" t="n">
        <v>23980</v>
      </c>
      <c r="M172" s="3" t="n">
        <v>0.08</v>
      </c>
      <c r="N172" s="3" t="n">
        <v>0.318</v>
      </c>
      <c r="O172" s="4">
        <f>ROUND(L172*K172*(1+M172+N172),2)</f>
        <v/>
      </c>
      <c r="P172" t="inlineStr">
        <is>
          <t>Fernando Ruiz</t>
        </is>
      </c>
      <c r="Q172" t="inlineStr">
        <is>
          <t>España</t>
        </is>
      </c>
      <c r="R172" t="inlineStr">
        <is>
          <t>Barcelona</t>
        </is>
      </c>
    </row>
    <row r="173">
      <c r="A173" t="inlineStr">
        <is>
          <t>EMP-0172</t>
        </is>
      </c>
      <c r="B173" t="inlineStr">
        <is>
          <t>Lucía</t>
        </is>
      </c>
      <c r="C173" t="inlineStr">
        <is>
          <t>García</t>
        </is>
      </c>
      <c r="D173" t="inlineStr">
        <is>
          <t>Finanzas</t>
        </is>
      </c>
      <c r="E173" t="inlineStr">
        <is>
          <t>Técnico de facturación</t>
        </is>
      </c>
      <c r="F173" t="inlineStr">
        <is>
          <t>Mantenimiento web</t>
        </is>
      </c>
      <c r="G173" t="inlineStr">
        <is>
          <t>Indefinido</t>
        </is>
      </c>
      <c r="H173" s="2" t="n">
        <v>44226</v>
      </c>
      <c r="I173" s="2" t="n"/>
      <c r="J173" t="inlineStr">
        <is>
          <t>Activo</t>
        </is>
      </c>
      <c r="K173" s="3" t="n">
        <v>1</v>
      </c>
      <c r="L173" s="4" t="n">
        <v>22561</v>
      </c>
      <c r="M173" s="3" t="n">
        <v>0.08</v>
      </c>
      <c r="N173" s="3" t="n">
        <v>0.329</v>
      </c>
      <c r="O173" s="4">
        <f>ROUND(L173*K173*(1+M173+N173),2)</f>
        <v/>
      </c>
      <c r="P173" t="inlineStr">
        <is>
          <t>Fernando Ruiz</t>
        </is>
      </c>
      <c r="Q173" t="inlineStr">
        <is>
          <t>España</t>
        </is>
      </c>
      <c r="R173" t="inlineStr">
        <is>
          <t>Sevilla</t>
        </is>
      </c>
    </row>
    <row r="174">
      <c r="A174" t="inlineStr">
        <is>
          <t>EMP-0173</t>
        </is>
      </c>
      <c r="B174" t="inlineStr">
        <is>
          <t>Sergio</t>
        </is>
      </c>
      <c r="C174" t="inlineStr">
        <is>
          <t>Fernández</t>
        </is>
      </c>
      <c r="D174" t="inlineStr">
        <is>
          <t>Traducción</t>
        </is>
      </c>
      <c r="E174" t="inlineStr">
        <is>
          <t>Revisor lingüístico</t>
        </is>
      </c>
      <c r="F174" t="inlineStr">
        <is>
          <t>Traducciones</t>
        </is>
      </c>
      <c r="G174" t="inlineStr">
        <is>
          <t>Indefinido</t>
        </is>
      </c>
      <c r="H174" s="2" t="n">
        <v>44134</v>
      </c>
      <c r="I174" s="2" t="n"/>
      <c r="J174" t="inlineStr">
        <is>
          <t>Activo</t>
        </is>
      </c>
      <c r="K174" s="3" t="n">
        <v>1</v>
      </c>
      <c r="L174" s="4" t="n">
        <v>48048</v>
      </c>
      <c r="M174" s="3" t="n">
        <v>0.05</v>
      </c>
      <c r="N174" s="3" t="n">
        <v>0.285</v>
      </c>
      <c r="O174" s="4">
        <f>ROUND(L174*K174*(1+M174+N174),2)</f>
        <v/>
      </c>
      <c r="P174" t="inlineStr">
        <is>
          <t>Fernando Ruiz</t>
        </is>
      </c>
      <c r="Q174" t="inlineStr">
        <is>
          <t>Colombia</t>
        </is>
      </c>
      <c r="R174" t="inlineStr">
        <is>
          <t>Bogotá</t>
        </is>
      </c>
    </row>
    <row r="175">
      <c r="A175" t="inlineStr">
        <is>
          <t>EMP-0174</t>
        </is>
      </c>
      <c r="B175" t="inlineStr">
        <is>
          <t>Marta</t>
        </is>
      </c>
      <c r="C175" t="inlineStr">
        <is>
          <t>López</t>
        </is>
      </c>
      <c r="D175" t="inlineStr">
        <is>
          <t>Tecnología</t>
        </is>
      </c>
      <c r="E175" t="inlineStr">
        <is>
          <t>Administrador intranet</t>
        </is>
      </c>
      <c r="F175" t="inlineStr">
        <is>
          <t>Mantenimiento intranets</t>
        </is>
      </c>
      <c r="G175" t="inlineStr">
        <is>
          <t>Indefinido</t>
        </is>
      </c>
      <c r="H175" s="2" t="n">
        <v>44645</v>
      </c>
      <c r="I175" s="2" t="n"/>
      <c r="J175" t="inlineStr">
        <is>
          <t>Activo</t>
        </is>
      </c>
      <c r="K175" s="3" t="n">
        <v>0.5</v>
      </c>
      <c r="L175" s="4" t="n">
        <v>46941</v>
      </c>
      <c r="M175" s="3" t="n">
        <v>0.1</v>
      </c>
      <c r="N175" s="3" t="n">
        <v>0.29</v>
      </c>
      <c r="O175" s="4">
        <f>ROUND(L175*K175*(1+M175+N175),2)</f>
        <v/>
      </c>
      <c r="P175" t="inlineStr">
        <is>
          <t>Fernando Ruiz</t>
        </is>
      </c>
      <c r="Q175" t="inlineStr">
        <is>
          <t>España</t>
        </is>
      </c>
      <c r="R175" t="inlineStr">
        <is>
          <t>Madrid</t>
        </is>
      </c>
    </row>
    <row r="176">
      <c r="A176" t="inlineStr">
        <is>
          <t>EMP-0175</t>
        </is>
      </c>
      <c r="B176" t="inlineStr">
        <is>
          <t>Irene</t>
        </is>
      </c>
      <c r="C176" t="inlineStr">
        <is>
          <t>Fernández</t>
        </is>
      </c>
      <c r="D176" t="inlineStr">
        <is>
          <t>Marketing</t>
        </is>
      </c>
      <c r="E176" t="inlineStr">
        <is>
          <t>Campaign manager</t>
        </is>
      </c>
      <c r="F176" t="inlineStr">
        <is>
          <t>Traducciones</t>
        </is>
      </c>
      <c r="G176" t="inlineStr">
        <is>
          <t>Freelance</t>
        </is>
      </c>
      <c r="H176" s="2" t="n">
        <v>45422</v>
      </c>
      <c r="I176" s="2" t="n"/>
      <c r="J176" t="inlineStr">
        <is>
          <t>Activo</t>
        </is>
      </c>
      <c r="K176" s="3" t="n">
        <v>0.5</v>
      </c>
      <c r="L176" s="4" t="n">
        <v>34042</v>
      </c>
      <c r="M176" s="3" t="n">
        <v>0.03</v>
      </c>
      <c r="N176" s="3" t="n">
        <v>0.334</v>
      </c>
      <c r="O176" s="4">
        <f>ROUND(L176*K176*(1+M176+N176),2)</f>
        <v/>
      </c>
      <c r="P176" t="inlineStr">
        <is>
          <t>Jorge Molina</t>
        </is>
      </c>
      <c r="Q176" t="inlineStr">
        <is>
          <t>Colombia</t>
        </is>
      </c>
      <c r="R176" t="inlineStr">
        <is>
          <t>Bogotá</t>
        </is>
      </c>
    </row>
    <row r="177">
      <c r="A177" t="inlineStr">
        <is>
          <t>EMP-0176</t>
        </is>
      </c>
      <c r="B177" t="inlineStr">
        <is>
          <t>Carlos</t>
        </is>
      </c>
      <c r="C177" t="inlineStr">
        <is>
          <t>Fernández</t>
        </is>
      </c>
      <c r="D177" t="inlineStr">
        <is>
          <t>Operaciones</t>
        </is>
      </c>
      <c r="E177" t="inlineStr">
        <is>
          <t>Especialista de cuentas</t>
        </is>
      </c>
      <c r="F177" t="inlineStr">
        <is>
          <t>Publicación de noticias</t>
        </is>
      </c>
      <c r="G177" t="inlineStr">
        <is>
          <t>Indefinido</t>
        </is>
      </c>
      <c r="H177" s="2" t="n">
        <v>44732</v>
      </c>
      <c r="I177" s="2" t="n"/>
      <c r="J177" t="inlineStr">
        <is>
          <t>Activo</t>
        </is>
      </c>
      <c r="K177" s="3" t="n">
        <v>1</v>
      </c>
      <c r="L177" s="4" t="n">
        <v>27323</v>
      </c>
      <c r="M177" s="3" t="n">
        <v>0.08</v>
      </c>
      <c r="N177" s="3" t="n">
        <v>0.294</v>
      </c>
      <c r="O177" s="4">
        <f>ROUND(L177*K177*(1+M177+N177),2)</f>
        <v/>
      </c>
      <c r="P177" t="inlineStr">
        <is>
          <t>Jorge Molina</t>
        </is>
      </c>
      <c r="Q177" t="inlineStr">
        <is>
          <t>Colombia</t>
        </is>
      </c>
      <c r="R177" t="inlineStr">
        <is>
          <t>Medellín</t>
        </is>
      </c>
    </row>
    <row r="178">
      <c r="A178" t="inlineStr">
        <is>
          <t>EMP-0177</t>
        </is>
      </c>
      <c r="B178" t="inlineStr">
        <is>
          <t>Daniel</t>
        </is>
      </c>
      <c r="C178" t="inlineStr">
        <is>
          <t>Vázquez</t>
        </is>
      </c>
      <c r="D178" t="inlineStr">
        <is>
          <t>Atención al cliente</t>
        </is>
      </c>
      <c r="E178" t="inlineStr">
        <is>
          <t>Account support</t>
        </is>
      </c>
      <c r="F178" t="inlineStr">
        <is>
          <t>Anuncios RRHH</t>
        </is>
      </c>
      <c r="G178" t="inlineStr">
        <is>
          <t>Temporal</t>
        </is>
      </c>
      <c r="H178" s="2" t="n">
        <v>44517</v>
      </c>
      <c r="I178" s="2" t="n">
        <v>45592</v>
      </c>
      <c r="J178" t="inlineStr">
        <is>
          <t>Baja</t>
        </is>
      </c>
      <c r="K178" s="3" t="n">
        <v>0.75</v>
      </c>
      <c r="L178" s="4" t="n">
        <v>49481</v>
      </c>
      <c r="M178" s="3" t="n">
        <v>0</v>
      </c>
      <c r="N178" s="3" t="n">
        <v>0.3</v>
      </c>
      <c r="O178" s="4">
        <f>ROUND(L178*K178*(1+M178+N178),2)</f>
        <v/>
      </c>
      <c r="P178" t="inlineStr">
        <is>
          <t>Silvia Navarro</t>
        </is>
      </c>
      <c r="Q178" t="inlineStr">
        <is>
          <t>España</t>
        </is>
      </c>
      <c r="R178" t="inlineStr">
        <is>
          <t>Barcelona</t>
        </is>
      </c>
    </row>
    <row r="179">
      <c r="A179" t="inlineStr">
        <is>
          <t>EMP-0178</t>
        </is>
      </c>
      <c r="B179" t="inlineStr">
        <is>
          <t>Sara</t>
        </is>
      </c>
      <c r="C179" t="inlineStr">
        <is>
          <t>Domínguez</t>
        </is>
      </c>
      <c r="D179" t="inlineStr">
        <is>
          <t>RRHH</t>
        </is>
      </c>
      <c r="E179" t="inlineStr">
        <is>
          <t>Recruitment marketer</t>
        </is>
      </c>
      <c r="F179" t="inlineStr">
        <is>
          <t>Anuncios RRHH</t>
        </is>
      </c>
      <c r="G179" t="inlineStr">
        <is>
          <t>Indefinido</t>
        </is>
      </c>
      <c r="H179" s="2" t="n">
        <v>45366</v>
      </c>
      <c r="I179" s="2" t="n"/>
      <c r="J179" t="inlineStr">
        <is>
          <t>Activo</t>
        </is>
      </c>
      <c r="K179" s="3" t="n">
        <v>1</v>
      </c>
      <c r="L179" s="4" t="n">
        <v>28086</v>
      </c>
      <c r="M179" s="3" t="n">
        <v>0.1</v>
      </c>
      <c r="N179" s="3" t="n">
        <v>0.315</v>
      </c>
      <c r="O179" s="4">
        <f>ROUND(L179*K179*(1+M179+N179),2)</f>
        <v/>
      </c>
      <c r="P179" t="inlineStr">
        <is>
          <t>Ana Torres</t>
        </is>
      </c>
      <c r="Q179" t="inlineStr">
        <is>
          <t>España</t>
        </is>
      </c>
      <c r="R179" t="inlineStr">
        <is>
          <t>Valencia</t>
        </is>
      </c>
    </row>
    <row r="180">
      <c r="A180" t="inlineStr">
        <is>
          <t>EMP-0179</t>
        </is>
      </c>
      <c r="B180" t="inlineStr">
        <is>
          <t>Rubén</t>
        </is>
      </c>
      <c r="C180" t="inlineStr">
        <is>
          <t>Pérez</t>
        </is>
      </c>
      <c r="D180" t="inlineStr">
        <is>
          <t>Comercial</t>
        </is>
      </c>
      <c r="E180" t="inlineStr">
        <is>
          <t>Sales manager</t>
        </is>
      </c>
      <c r="F180" t="inlineStr">
        <is>
          <t>Mantenimiento intranets</t>
        </is>
      </c>
      <c r="G180" t="inlineStr">
        <is>
          <t>Indefinido</t>
        </is>
      </c>
      <c r="H180" s="2" t="n">
        <v>43732</v>
      </c>
      <c r="I180" s="2" t="n"/>
      <c r="J180" t="inlineStr">
        <is>
          <t>Activo</t>
        </is>
      </c>
      <c r="K180" s="3" t="n">
        <v>1</v>
      </c>
      <c r="L180" s="4" t="n">
        <v>38691</v>
      </c>
      <c r="M180" s="3" t="n">
        <v>0</v>
      </c>
      <c r="N180" s="3" t="n">
        <v>0.28</v>
      </c>
      <c r="O180" s="4">
        <f>ROUND(L180*K180*(1+M180+N180),2)</f>
        <v/>
      </c>
      <c r="P180" t="inlineStr">
        <is>
          <t>Fernando Ruiz</t>
        </is>
      </c>
      <c r="Q180" t="inlineStr">
        <is>
          <t>México</t>
        </is>
      </c>
      <c r="R180" t="inlineStr">
        <is>
          <t>Ciudad de México</t>
        </is>
      </c>
    </row>
    <row r="181">
      <c r="A181" t="inlineStr">
        <is>
          <t>EMP-0180</t>
        </is>
      </c>
      <c r="B181" t="inlineStr">
        <is>
          <t>Pablo</t>
        </is>
      </c>
      <c r="C181" t="inlineStr">
        <is>
          <t>Navarro</t>
        </is>
      </c>
      <c r="D181" t="inlineStr">
        <is>
          <t>Marketing</t>
        </is>
      </c>
      <c r="E181" t="inlineStr">
        <is>
          <t>Campaign manager</t>
        </is>
      </c>
      <c r="F181" t="inlineStr">
        <is>
          <t>Generación de noticias</t>
        </is>
      </c>
      <c r="G181" t="inlineStr">
        <is>
          <t>Indefinido</t>
        </is>
      </c>
      <c r="H181" s="2" t="n">
        <v>45373</v>
      </c>
      <c r="I181" s="2" t="n"/>
      <c r="J181" t="inlineStr">
        <is>
          <t>Activo</t>
        </is>
      </c>
      <c r="K181" s="3" t="n">
        <v>0.5</v>
      </c>
      <c r="L181" s="4" t="n">
        <v>27594</v>
      </c>
      <c r="M181" s="3" t="n">
        <v>0.03</v>
      </c>
      <c r="N181" s="3" t="n">
        <v>0.313</v>
      </c>
      <c r="O181" s="4">
        <f>ROUND(L181*K181*(1+M181+N181),2)</f>
        <v/>
      </c>
      <c r="P181" t="inlineStr">
        <is>
          <t>Silvia Navarro</t>
        </is>
      </c>
      <c r="Q181" t="inlineStr">
        <is>
          <t>España</t>
        </is>
      </c>
      <c r="R181" t="inlineStr">
        <is>
          <t>Madrid</t>
        </is>
      </c>
    </row>
    <row r="182">
      <c r="A182" t="inlineStr">
        <is>
          <t>EMP-0181</t>
        </is>
      </c>
      <c r="B182" t="inlineStr">
        <is>
          <t>Andrea</t>
        </is>
      </c>
      <c r="C182" t="inlineStr">
        <is>
          <t>Molina</t>
        </is>
      </c>
      <c r="D182" t="inlineStr">
        <is>
          <t>Marketing</t>
        </is>
      </c>
      <c r="E182" t="inlineStr">
        <is>
          <t>Especialista SEM</t>
        </is>
      </c>
      <c r="F182" t="inlineStr">
        <is>
          <t>Anuncios prensa</t>
        </is>
      </c>
      <c r="G182" t="inlineStr">
        <is>
          <t>Indefinido</t>
        </is>
      </c>
      <c r="H182" s="2" t="n">
        <v>45392</v>
      </c>
      <c r="I182" s="2" t="n"/>
      <c r="J182" t="inlineStr">
        <is>
          <t>Activo</t>
        </is>
      </c>
      <c r="K182" s="3" t="n">
        <v>0.75</v>
      </c>
      <c r="L182" s="4" t="n">
        <v>49009</v>
      </c>
      <c r="M182" s="3" t="n">
        <v>0</v>
      </c>
      <c r="N182" s="3" t="n">
        <v>0.321</v>
      </c>
      <c r="O182" s="4">
        <f>ROUND(L182*K182*(1+M182+N182),2)</f>
        <v/>
      </c>
      <c r="P182" t="inlineStr">
        <is>
          <t>Luis Gómez</t>
        </is>
      </c>
      <c r="Q182" t="inlineStr">
        <is>
          <t>España</t>
        </is>
      </c>
      <c r="R182" t="inlineStr">
        <is>
          <t>Sevilla</t>
        </is>
      </c>
    </row>
    <row r="183">
      <c r="A183" t="inlineStr">
        <is>
          <t>EMP-0182</t>
        </is>
      </c>
      <c r="B183" t="inlineStr">
        <is>
          <t>Sofía</t>
        </is>
      </c>
      <c r="C183" t="inlineStr">
        <is>
          <t>Gómez</t>
        </is>
      </c>
      <c r="D183" t="inlineStr">
        <is>
          <t>Comercial</t>
        </is>
      </c>
      <c r="E183" t="inlineStr">
        <is>
          <t>Sales manager</t>
        </is>
      </c>
      <c r="F183" t="inlineStr">
        <is>
          <t>Generación de noticias</t>
        </is>
      </c>
      <c r="G183" t="inlineStr">
        <is>
          <t>Indefinido</t>
        </is>
      </c>
      <c r="H183" s="2" t="n">
        <v>44825</v>
      </c>
      <c r="I183" s="2" t="n"/>
      <c r="J183" t="inlineStr">
        <is>
          <t>Activo</t>
        </is>
      </c>
      <c r="K183" s="3" t="n">
        <v>0.5</v>
      </c>
      <c r="L183" s="4" t="n">
        <v>39894</v>
      </c>
      <c r="M183" s="3" t="n">
        <v>0</v>
      </c>
      <c r="N183" s="3" t="n">
        <v>0.323</v>
      </c>
      <c r="O183" s="4">
        <f>ROUND(L183*K183*(1+M183+N183),2)</f>
        <v/>
      </c>
      <c r="P183" t="inlineStr">
        <is>
          <t>Silvia Navarro</t>
        </is>
      </c>
      <c r="Q183" t="inlineStr">
        <is>
          <t>España</t>
        </is>
      </c>
      <c r="R183" t="inlineStr">
        <is>
          <t>Barcelona</t>
        </is>
      </c>
    </row>
    <row r="184">
      <c r="A184" t="inlineStr">
        <is>
          <t>EMP-0183</t>
        </is>
      </c>
      <c r="B184" t="inlineStr">
        <is>
          <t>Lucía</t>
        </is>
      </c>
      <c r="C184" t="inlineStr">
        <is>
          <t>Alonso</t>
        </is>
      </c>
      <c r="D184" t="inlineStr">
        <is>
          <t>Tecnología</t>
        </is>
      </c>
      <c r="E184" t="inlineStr">
        <is>
          <t>QA web</t>
        </is>
      </c>
      <c r="F184" t="inlineStr">
        <is>
          <t>Anuncios internet</t>
        </is>
      </c>
      <c r="G184" t="inlineStr">
        <is>
          <t>Indefinido</t>
        </is>
      </c>
      <c r="H184" s="2" t="n">
        <v>45641</v>
      </c>
      <c r="I184" s="2" t="n"/>
      <c r="J184" t="inlineStr">
        <is>
          <t>Activo</t>
        </is>
      </c>
      <c r="K184" s="3" t="n">
        <v>1</v>
      </c>
      <c r="L184" s="4" t="n">
        <v>43167</v>
      </c>
      <c r="M184" s="3" t="n">
        <v>0.05</v>
      </c>
      <c r="N184" s="3" t="n">
        <v>0.329</v>
      </c>
      <c r="O184" s="4">
        <f>ROUND(L184*K184*(1+M184+N184),2)</f>
        <v/>
      </c>
      <c r="P184" t="inlineStr">
        <is>
          <t>Silvia Navarro</t>
        </is>
      </c>
      <c r="Q184" t="inlineStr">
        <is>
          <t>España</t>
        </is>
      </c>
      <c r="R184" t="inlineStr">
        <is>
          <t>Valencia</t>
        </is>
      </c>
    </row>
    <row r="185">
      <c r="A185" t="inlineStr">
        <is>
          <t>EMP-0184</t>
        </is>
      </c>
      <c r="B185" t="inlineStr">
        <is>
          <t>Beatriz</t>
        </is>
      </c>
      <c r="C185" t="inlineStr">
        <is>
          <t>Álvarez</t>
        </is>
      </c>
      <c r="D185" t="inlineStr">
        <is>
          <t>Traducción</t>
        </is>
      </c>
      <c r="E185" t="inlineStr">
        <is>
          <t>Localization manager</t>
        </is>
      </c>
      <c r="F185" t="inlineStr">
        <is>
          <t>Generación de noticias</t>
        </is>
      </c>
      <c r="G185" t="inlineStr">
        <is>
          <t>Indefinido</t>
        </is>
      </c>
      <c r="H185" s="2" t="n">
        <v>44732</v>
      </c>
      <c r="I185" s="2" t="n"/>
      <c r="J185" t="inlineStr">
        <is>
          <t>Activo</t>
        </is>
      </c>
      <c r="K185" s="3" t="n">
        <v>1</v>
      </c>
      <c r="L185" s="4" t="n">
        <v>46080</v>
      </c>
      <c r="M185" s="3" t="n">
        <v>0.1</v>
      </c>
      <c r="N185" s="3" t="n">
        <v>0.318</v>
      </c>
      <c r="O185" s="4">
        <f>ROUND(L185*K185*(1+M185+N185),2)</f>
        <v/>
      </c>
      <c r="P185" t="inlineStr">
        <is>
          <t>Luis Gómez</t>
        </is>
      </c>
      <c r="Q185" t="inlineStr">
        <is>
          <t>España</t>
        </is>
      </c>
      <c r="R185" t="inlineStr">
        <is>
          <t>Barcelona</t>
        </is>
      </c>
    </row>
    <row r="186">
      <c r="A186" t="inlineStr">
        <is>
          <t>EMP-0185</t>
        </is>
      </c>
      <c r="B186" t="inlineStr">
        <is>
          <t>Adrián</t>
        </is>
      </c>
      <c r="C186" t="inlineStr">
        <is>
          <t>Sánchez</t>
        </is>
      </c>
      <c r="D186" t="inlineStr">
        <is>
          <t>Marketing</t>
        </is>
      </c>
      <c r="E186" t="inlineStr">
        <is>
          <t>Campaign manager</t>
        </is>
      </c>
      <c r="F186" t="inlineStr">
        <is>
          <t>Anuncios prensa</t>
        </is>
      </c>
      <c r="G186" t="inlineStr">
        <is>
          <t>Freelance</t>
        </is>
      </c>
      <c r="H186" s="2" t="n">
        <v>43919</v>
      </c>
      <c r="I186" s="2" t="n"/>
      <c r="J186" t="inlineStr">
        <is>
          <t>Activo</t>
        </is>
      </c>
      <c r="K186" s="3" t="n">
        <v>1</v>
      </c>
      <c r="L186" s="4" t="n">
        <v>37479</v>
      </c>
      <c r="M186" s="3" t="n">
        <v>0.12</v>
      </c>
      <c r="N186" s="3" t="n">
        <v>0.313</v>
      </c>
      <c r="O186" s="4">
        <f>ROUND(L186*K186*(1+M186+N186),2)</f>
        <v/>
      </c>
      <c r="P186" t="inlineStr">
        <is>
          <t>Fernando Ruiz</t>
        </is>
      </c>
      <c r="Q186" t="inlineStr">
        <is>
          <t>España</t>
        </is>
      </c>
      <c r="R186" t="inlineStr">
        <is>
          <t>Sevilla</t>
        </is>
      </c>
    </row>
    <row r="187">
      <c r="A187" t="inlineStr">
        <is>
          <t>EMP-0186</t>
        </is>
      </c>
      <c r="B187" t="inlineStr">
        <is>
          <t>Nuria</t>
        </is>
      </c>
      <c r="C187" t="inlineStr">
        <is>
          <t>Delgado</t>
        </is>
      </c>
      <c r="D187" t="inlineStr">
        <is>
          <t>Tecnología</t>
        </is>
      </c>
      <c r="E187" t="inlineStr">
        <is>
          <t>Administrador intranet</t>
        </is>
      </c>
      <c r="F187" t="inlineStr">
        <is>
          <t>Anuncios internet</t>
        </is>
      </c>
      <c r="G187" t="inlineStr">
        <is>
          <t>Indefinido</t>
        </is>
      </c>
      <c r="H187" s="2" t="n">
        <v>44341</v>
      </c>
      <c r="I187" s="2" t="n"/>
      <c r="J187" t="inlineStr">
        <is>
          <t>Activo</t>
        </is>
      </c>
      <c r="K187" s="3" t="n">
        <v>0.75</v>
      </c>
      <c r="L187" s="4" t="n">
        <v>52902</v>
      </c>
      <c r="M187" s="3" t="n">
        <v>0.12</v>
      </c>
      <c r="N187" s="3" t="n">
        <v>0.303</v>
      </c>
      <c r="O187" s="4">
        <f>ROUND(L187*K187*(1+M187+N187),2)</f>
        <v/>
      </c>
      <c r="P187" t="inlineStr">
        <is>
          <t>Silvia Navarro</t>
        </is>
      </c>
      <c r="Q187" t="inlineStr">
        <is>
          <t>México</t>
        </is>
      </c>
      <c r="R187" t="inlineStr">
        <is>
          <t>Ciudad de México</t>
        </is>
      </c>
    </row>
    <row r="188">
      <c r="A188" t="inlineStr">
        <is>
          <t>EMP-0187</t>
        </is>
      </c>
      <c r="B188" t="inlineStr">
        <is>
          <t>Eva</t>
        </is>
      </c>
      <c r="C188" t="inlineStr">
        <is>
          <t>Martínez</t>
        </is>
      </c>
      <c r="D188" t="inlineStr">
        <is>
          <t>Finanzas</t>
        </is>
      </c>
      <c r="E188" t="inlineStr">
        <is>
          <t>Analista financiero</t>
        </is>
      </c>
      <c r="F188" t="inlineStr">
        <is>
          <t>Anuncios prensa</t>
        </is>
      </c>
      <c r="G188" t="inlineStr">
        <is>
          <t>Temporal</t>
        </is>
      </c>
      <c r="H188" s="2" t="n">
        <v>44573</v>
      </c>
      <c r="I188" s="2" t="n"/>
      <c r="J188" t="inlineStr">
        <is>
          <t>Activo</t>
        </is>
      </c>
      <c r="K188" s="3" t="n">
        <v>1</v>
      </c>
      <c r="L188" s="4" t="n">
        <v>41458</v>
      </c>
      <c r="M188" s="3" t="n">
        <v>0.1</v>
      </c>
      <c r="N188" s="3" t="n">
        <v>0.335</v>
      </c>
      <c r="O188" s="4">
        <f>ROUND(L188*K188*(1+M188+N188),2)</f>
        <v/>
      </c>
      <c r="P188" t="inlineStr">
        <is>
          <t>Luis Gómez</t>
        </is>
      </c>
      <c r="Q188" t="inlineStr">
        <is>
          <t>España</t>
        </is>
      </c>
      <c r="R188" t="inlineStr">
        <is>
          <t>Sevilla</t>
        </is>
      </c>
    </row>
    <row r="189">
      <c r="A189" t="inlineStr">
        <is>
          <t>EMP-0188</t>
        </is>
      </c>
      <c r="B189" t="inlineStr">
        <is>
          <t>Marina</t>
        </is>
      </c>
      <c r="C189" t="inlineStr">
        <is>
          <t>Ortega</t>
        </is>
      </c>
      <c r="D189" t="inlineStr">
        <is>
          <t>Marketing</t>
        </is>
      </c>
      <c r="E189" t="inlineStr">
        <is>
          <t>Media planner</t>
        </is>
      </c>
      <c r="F189" t="inlineStr">
        <is>
          <t>Publicación de noticias</t>
        </is>
      </c>
      <c r="G189" t="inlineStr">
        <is>
          <t>Indefinido</t>
        </is>
      </c>
      <c r="H189" s="2" t="n">
        <v>44737</v>
      </c>
      <c r="I189" s="2" t="n"/>
      <c r="J189" t="inlineStr">
        <is>
          <t>Activo</t>
        </is>
      </c>
      <c r="K189" s="3" t="n">
        <v>1</v>
      </c>
      <c r="L189" s="4" t="n">
        <v>55616</v>
      </c>
      <c r="M189" s="3" t="n">
        <v>0</v>
      </c>
      <c r="N189" s="3" t="n">
        <v>0.281</v>
      </c>
      <c r="O189" s="4">
        <f>ROUND(L189*K189*(1+M189+N189),2)</f>
        <v/>
      </c>
      <c r="P189" t="inlineStr">
        <is>
          <t>Luis Gómez</t>
        </is>
      </c>
      <c r="Q189" t="inlineStr">
        <is>
          <t>Portugal</t>
        </is>
      </c>
      <c r="R189" t="inlineStr">
        <is>
          <t>Lisboa</t>
        </is>
      </c>
    </row>
    <row r="190">
      <c r="A190" t="inlineStr">
        <is>
          <t>EMP-0189</t>
        </is>
      </c>
      <c r="B190" t="inlineStr">
        <is>
          <t>Sara</t>
        </is>
      </c>
      <c r="C190" t="inlineStr">
        <is>
          <t>Romero</t>
        </is>
      </c>
      <c r="D190" t="inlineStr">
        <is>
          <t>Atención al cliente</t>
        </is>
      </c>
      <c r="E190" t="inlineStr">
        <is>
          <t>Soporte cliente</t>
        </is>
      </c>
      <c r="F190" t="inlineStr">
        <is>
          <t>Anuncios TV</t>
        </is>
      </c>
      <c r="G190" t="inlineStr">
        <is>
          <t>Indefinido</t>
        </is>
      </c>
      <c r="H190" s="2" t="n">
        <v>45511</v>
      </c>
      <c r="I190" s="2" t="n"/>
      <c r="J190" t="inlineStr">
        <is>
          <t>Activo</t>
        </is>
      </c>
      <c r="K190" s="3" t="n">
        <v>0.75</v>
      </c>
      <c r="L190" s="4" t="n">
        <v>33303</v>
      </c>
      <c r="M190" s="3" t="n">
        <v>0</v>
      </c>
      <c r="N190" s="3" t="n">
        <v>0.309</v>
      </c>
      <c r="O190" s="4">
        <f>ROUND(L190*K190*(1+M190+N190),2)</f>
        <v/>
      </c>
      <c r="P190" t="inlineStr">
        <is>
          <t>Fernando Ruiz</t>
        </is>
      </c>
      <c r="Q190" t="inlineStr">
        <is>
          <t>España</t>
        </is>
      </c>
      <c r="R190" t="inlineStr">
        <is>
          <t>Barcelona</t>
        </is>
      </c>
    </row>
    <row r="191">
      <c r="A191" t="inlineStr">
        <is>
          <t>EMP-0190</t>
        </is>
      </c>
      <c r="B191" t="inlineStr">
        <is>
          <t>Teresa</t>
        </is>
      </c>
      <c r="C191" t="inlineStr">
        <is>
          <t>Moreno</t>
        </is>
      </c>
      <c r="D191" t="inlineStr">
        <is>
          <t>Redacción</t>
        </is>
      </c>
      <c r="E191" t="inlineStr">
        <is>
          <t>Content manager</t>
        </is>
      </c>
      <c r="F191" t="inlineStr">
        <is>
          <t>Traducciones</t>
        </is>
      </c>
      <c r="G191" t="inlineStr">
        <is>
          <t>Indefinido</t>
        </is>
      </c>
      <c r="H191" s="2" t="n">
        <v>43948</v>
      </c>
      <c r="I191" s="2" t="n"/>
      <c r="J191" t="inlineStr">
        <is>
          <t>Activo</t>
        </is>
      </c>
      <c r="K191" s="3" t="n">
        <v>1</v>
      </c>
      <c r="L191" s="4" t="n">
        <v>37602</v>
      </c>
      <c r="M191" s="3" t="n">
        <v>0</v>
      </c>
      <c r="N191" s="3" t="n">
        <v>0.306</v>
      </c>
      <c r="O191" s="4">
        <f>ROUND(L191*K191*(1+M191+N191),2)</f>
        <v/>
      </c>
      <c r="P191" t="inlineStr">
        <is>
          <t>Fernando Ruiz</t>
        </is>
      </c>
      <c r="Q191" t="inlineStr">
        <is>
          <t>Colombia</t>
        </is>
      </c>
      <c r="R191" t="inlineStr">
        <is>
          <t>Bogotá</t>
        </is>
      </c>
    </row>
    <row r="192">
      <c r="A192" t="inlineStr">
        <is>
          <t>EMP-0191</t>
        </is>
      </c>
      <c r="B192" t="inlineStr">
        <is>
          <t>Carlos</t>
        </is>
      </c>
      <c r="C192" t="inlineStr">
        <is>
          <t>Marín</t>
        </is>
      </c>
      <c r="D192" t="inlineStr">
        <is>
          <t>Marketing</t>
        </is>
      </c>
      <c r="E192" t="inlineStr">
        <is>
          <t>Especialista SEM</t>
        </is>
      </c>
      <c r="F192" t="inlineStr">
        <is>
          <t>Traducciones</t>
        </is>
      </c>
      <c r="G192" t="inlineStr">
        <is>
          <t>Indefinido</t>
        </is>
      </c>
      <c r="H192" s="2" t="n">
        <v>43548</v>
      </c>
      <c r="I192" s="2" t="n"/>
      <c r="J192" t="inlineStr">
        <is>
          <t>Activo</t>
        </is>
      </c>
      <c r="K192" s="3" t="n">
        <v>0.75</v>
      </c>
      <c r="L192" s="4" t="n">
        <v>52262</v>
      </c>
      <c r="M192" s="3" t="n">
        <v>0.08</v>
      </c>
      <c r="N192" s="3" t="n">
        <v>0.29</v>
      </c>
      <c r="O192" s="4">
        <f>ROUND(L192*K192*(1+M192+N192),2)</f>
        <v/>
      </c>
      <c r="P192" t="inlineStr">
        <is>
          <t>Patricia Romero</t>
        </is>
      </c>
      <c r="Q192" t="inlineStr">
        <is>
          <t>España</t>
        </is>
      </c>
      <c r="R192" t="inlineStr">
        <is>
          <t>Madrid</t>
        </is>
      </c>
    </row>
    <row r="193">
      <c r="A193" t="inlineStr">
        <is>
          <t>EMP-0192</t>
        </is>
      </c>
      <c r="B193" t="inlineStr">
        <is>
          <t>Raúl</t>
        </is>
      </c>
      <c r="C193" t="inlineStr">
        <is>
          <t>Ortega</t>
        </is>
      </c>
      <c r="D193" t="inlineStr">
        <is>
          <t>Atención al cliente</t>
        </is>
      </c>
      <c r="E193" t="inlineStr">
        <is>
          <t>Soporte cliente</t>
        </is>
      </c>
      <c r="F193" t="inlineStr">
        <is>
          <t>Anuncios prensa</t>
        </is>
      </c>
      <c r="G193" t="inlineStr">
        <is>
          <t>Indefinido</t>
        </is>
      </c>
      <c r="H193" s="2" t="n">
        <v>44871</v>
      </c>
      <c r="I193" s="2" t="n"/>
      <c r="J193" t="inlineStr">
        <is>
          <t>Activo</t>
        </is>
      </c>
      <c r="K193" s="3" t="n">
        <v>1</v>
      </c>
      <c r="L193" s="4" t="n">
        <v>50937</v>
      </c>
      <c r="M193" s="3" t="n">
        <v>0</v>
      </c>
      <c r="N193" s="3" t="n">
        <v>0.307</v>
      </c>
      <c r="O193" s="4">
        <f>ROUND(L193*K193*(1+M193+N193),2)</f>
        <v/>
      </c>
      <c r="P193" t="inlineStr">
        <is>
          <t>Fernando Ruiz</t>
        </is>
      </c>
      <c r="Q193" t="inlineStr">
        <is>
          <t>Chile</t>
        </is>
      </c>
      <c r="R193" t="inlineStr">
        <is>
          <t>Santiago</t>
        </is>
      </c>
    </row>
    <row r="194">
      <c r="A194" t="inlineStr">
        <is>
          <t>EMP-0193</t>
        </is>
      </c>
      <c r="B194" t="inlineStr">
        <is>
          <t>Marina</t>
        </is>
      </c>
      <c r="C194" t="inlineStr">
        <is>
          <t>Sánchez</t>
        </is>
      </c>
      <c r="D194" t="inlineStr">
        <is>
          <t>Operaciones</t>
        </is>
      </c>
      <c r="E194" t="inlineStr">
        <is>
          <t>Project manager</t>
        </is>
      </c>
      <c r="F194" t="inlineStr">
        <is>
          <t>Mantenimiento intranets</t>
        </is>
      </c>
      <c r="G194" t="inlineStr">
        <is>
          <t>Temporal</t>
        </is>
      </c>
      <c r="H194" s="2" t="n">
        <v>45300</v>
      </c>
      <c r="I194" s="2" t="n"/>
      <c r="J194" t="inlineStr">
        <is>
          <t>Activo</t>
        </is>
      </c>
      <c r="K194" s="3" t="n">
        <v>1</v>
      </c>
      <c r="L194" s="4" t="n">
        <v>28457</v>
      </c>
      <c r="M194" s="3" t="n">
        <v>0.05</v>
      </c>
      <c r="N194" s="3" t="n">
        <v>0.287</v>
      </c>
      <c r="O194" s="4">
        <f>ROUND(L194*K194*(1+M194+N194),2)</f>
        <v/>
      </c>
      <c r="P194" t="inlineStr">
        <is>
          <t>Fernando Ruiz</t>
        </is>
      </c>
      <c r="Q194" t="inlineStr">
        <is>
          <t>España</t>
        </is>
      </c>
      <c r="R194" t="inlineStr">
        <is>
          <t>Madrid</t>
        </is>
      </c>
    </row>
    <row r="195">
      <c r="A195" t="inlineStr">
        <is>
          <t>EMP-0194</t>
        </is>
      </c>
      <c r="B195" t="inlineStr">
        <is>
          <t>Joel</t>
        </is>
      </c>
      <c r="C195" t="inlineStr">
        <is>
          <t>Sánchez</t>
        </is>
      </c>
      <c r="D195" t="inlineStr">
        <is>
          <t>Atención al cliente</t>
        </is>
      </c>
      <c r="E195" t="inlineStr">
        <is>
          <t>Customer success</t>
        </is>
      </c>
      <c r="F195" t="inlineStr">
        <is>
          <t>Anuncios RRHH</t>
        </is>
      </c>
      <c r="G195" t="inlineStr">
        <is>
          <t>Indefinido</t>
        </is>
      </c>
      <c r="H195" s="2" t="n">
        <v>44976</v>
      </c>
      <c r="I195" s="2" t="n"/>
      <c r="J195" t="inlineStr">
        <is>
          <t>Activo</t>
        </is>
      </c>
      <c r="K195" s="3" t="n">
        <v>1</v>
      </c>
      <c r="L195" s="4" t="n">
        <v>42135</v>
      </c>
      <c r="M195" s="3" t="n">
        <v>0.08</v>
      </c>
      <c r="N195" s="3" t="n">
        <v>0.285</v>
      </c>
      <c r="O195" s="4">
        <f>ROUND(L195*K195*(1+M195+N195),2)</f>
        <v/>
      </c>
      <c r="P195" t="inlineStr">
        <is>
          <t>Patricia Romero</t>
        </is>
      </c>
      <c r="Q195" t="inlineStr">
        <is>
          <t>España</t>
        </is>
      </c>
      <c r="R195" t="inlineStr">
        <is>
          <t>Sevilla</t>
        </is>
      </c>
    </row>
    <row r="196">
      <c r="A196" t="inlineStr">
        <is>
          <t>EMP-0195</t>
        </is>
      </c>
      <c r="B196" t="inlineStr">
        <is>
          <t>Adrián</t>
        </is>
      </c>
      <c r="C196" t="inlineStr">
        <is>
          <t>Castro</t>
        </is>
      </c>
      <c r="D196" t="inlineStr">
        <is>
          <t>Redacción</t>
        </is>
      </c>
      <c r="E196" t="inlineStr">
        <is>
          <t>Editor</t>
        </is>
      </c>
      <c r="F196" t="inlineStr">
        <is>
          <t>Mantenimiento intranets</t>
        </is>
      </c>
      <c r="G196" t="inlineStr">
        <is>
          <t>Indefinido</t>
        </is>
      </c>
      <c r="H196" s="2" t="n">
        <v>44692</v>
      </c>
      <c r="I196" s="2" t="n"/>
      <c r="J196" t="inlineStr">
        <is>
          <t>Activo</t>
        </is>
      </c>
      <c r="K196" s="3" t="n">
        <v>0.75</v>
      </c>
      <c r="L196" s="4" t="n">
        <v>40835</v>
      </c>
      <c r="M196" s="3" t="n">
        <v>0.05</v>
      </c>
      <c r="N196" s="3" t="n">
        <v>0.305</v>
      </c>
      <c r="O196" s="4">
        <f>ROUND(L196*K196*(1+M196+N196),2)</f>
        <v/>
      </c>
      <c r="P196" t="inlineStr">
        <is>
          <t>Jorge Molina</t>
        </is>
      </c>
      <c r="Q196" t="inlineStr">
        <is>
          <t>España</t>
        </is>
      </c>
      <c r="R196" t="inlineStr">
        <is>
          <t>Barcelona</t>
        </is>
      </c>
    </row>
    <row r="197">
      <c r="A197" t="inlineStr">
        <is>
          <t>EMP-0196</t>
        </is>
      </c>
      <c r="B197" t="inlineStr">
        <is>
          <t>Claudia</t>
        </is>
      </c>
      <c r="C197" t="inlineStr">
        <is>
          <t>Pérez</t>
        </is>
      </c>
      <c r="D197" t="inlineStr">
        <is>
          <t>Atención al cliente</t>
        </is>
      </c>
      <c r="E197" t="inlineStr">
        <is>
          <t>Soporte cliente</t>
        </is>
      </c>
      <c r="F197" t="inlineStr">
        <is>
          <t>Publicación de noticias</t>
        </is>
      </c>
      <c r="G197" t="inlineStr">
        <is>
          <t>Indefinido</t>
        </is>
      </c>
      <c r="H197" s="2" t="n">
        <v>44948</v>
      </c>
      <c r="I197" s="2" t="n"/>
      <c r="J197" t="inlineStr">
        <is>
          <t>Activo</t>
        </is>
      </c>
      <c r="K197" s="3" t="n">
        <v>1</v>
      </c>
      <c r="L197" s="4" t="n">
        <v>22314</v>
      </c>
      <c r="M197" s="3" t="n">
        <v>0.05</v>
      </c>
      <c r="N197" s="3" t="n">
        <v>0.288</v>
      </c>
      <c r="O197" s="4">
        <f>ROUND(L197*K197*(1+M197+N197),2)</f>
        <v/>
      </c>
      <c r="P197" t="inlineStr">
        <is>
          <t>Silvia Navarro</t>
        </is>
      </c>
      <c r="Q197" t="inlineStr">
        <is>
          <t>España</t>
        </is>
      </c>
      <c r="R197" t="inlineStr">
        <is>
          <t>Sevilla</t>
        </is>
      </c>
    </row>
    <row r="198">
      <c r="A198" t="inlineStr">
        <is>
          <t>EMP-0197</t>
        </is>
      </c>
      <c r="B198" t="inlineStr">
        <is>
          <t>Nuria</t>
        </is>
      </c>
      <c r="C198" t="inlineStr">
        <is>
          <t>Castro</t>
        </is>
      </c>
      <c r="D198" t="inlineStr">
        <is>
          <t>Atención al cliente</t>
        </is>
      </c>
      <c r="E198" t="inlineStr">
        <is>
          <t>Soporte cliente</t>
        </is>
      </c>
      <c r="F198" t="inlineStr">
        <is>
          <t>Anuncios internet</t>
        </is>
      </c>
      <c r="G198" t="inlineStr">
        <is>
          <t>Temporal</t>
        </is>
      </c>
      <c r="H198" s="2" t="n">
        <v>45102</v>
      </c>
      <c r="I198" s="2" t="n"/>
      <c r="J198" t="inlineStr">
        <is>
          <t>Activo</t>
        </is>
      </c>
      <c r="K198" s="3" t="n">
        <v>1</v>
      </c>
      <c r="L198" s="4" t="n">
        <v>23011</v>
      </c>
      <c r="M198" s="3" t="n">
        <v>0.12</v>
      </c>
      <c r="N198" s="3" t="n">
        <v>0.326</v>
      </c>
      <c r="O198" s="4">
        <f>ROUND(L198*K198*(1+M198+N198),2)</f>
        <v/>
      </c>
      <c r="P198" t="inlineStr">
        <is>
          <t>Ana Torres</t>
        </is>
      </c>
      <c r="Q198" t="inlineStr">
        <is>
          <t>España</t>
        </is>
      </c>
      <c r="R198" t="inlineStr">
        <is>
          <t>Sevilla</t>
        </is>
      </c>
    </row>
    <row r="199">
      <c r="A199" t="inlineStr">
        <is>
          <t>EMP-0198</t>
        </is>
      </c>
      <c r="B199" t="inlineStr">
        <is>
          <t>Óscar</t>
        </is>
      </c>
      <c r="C199" t="inlineStr">
        <is>
          <t>Gil</t>
        </is>
      </c>
      <c r="D199" t="inlineStr">
        <is>
          <t>Comercial</t>
        </is>
      </c>
      <c r="E199" t="inlineStr">
        <is>
          <t>Sales manager</t>
        </is>
      </c>
      <c r="F199" t="inlineStr">
        <is>
          <t>Mantenimiento intranets</t>
        </is>
      </c>
      <c r="G199" t="inlineStr">
        <is>
          <t>Temporal</t>
        </is>
      </c>
      <c r="H199" s="2" t="n">
        <v>45129</v>
      </c>
      <c r="I199" s="2" t="n"/>
      <c r="J199" t="inlineStr">
        <is>
          <t>Activo</t>
        </is>
      </c>
      <c r="K199" s="3" t="n">
        <v>0.5</v>
      </c>
      <c r="L199" s="4" t="n">
        <v>45701</v>
      </c>
      <c r="M199" s="3" t="n">
        <v>0.03</v>
      </c>
      <c r="N199" s="3" t="n">
        <v>0.327</v>
      </c>
      <c r="O199" s="4">
        <f>ROUND(L199*K199*(1+M199+N199),2)</f>
        <v/>
      </c>
      <c r="P199" t="inlineStr">
        <is>
          <t>Silvia Navarro</t>
        </is>
      </c>
      <c r="Q199" t="inlineStr">
        <is>
          <t>España</t>
        </is>
      </c>
      <c r="R199" t="inlineStr">
        <is>
          <t>Barcelona</t>
        </is>
      </c>
    </row>
    <row r="200">
      <c r="A200" t="inlineStr">
        <is>
          <t>EMP-0199</t>
        </is>
      </c>
      <c r="B200" t="inlineStr">
        <is>
          <t>Paula</t>
        </is>
      </c>
      <c r="C200" t="inlineStr">
        <is>
          <t>Suárez</t>
        </is>
      </c>
      <c r="D200" t="inlineStr">
        <is>
          <t>Operaciones</t>
        </is>
      </c>
      <c r="E200" t="inlineStr">
        <is>
          <t>Coordinador de operaciones</t>
        </is>
      </c>
      <c r="F200" t="inlineStr">
        <is>
          <t>Anuncios internet</t>
        </is>
      </c>
      <c r="G200" t="inlineStr">
        <is>
          <t>Temporal</t>
        </is>
      </c>
      <c r="H200" s="2" t="n">
        <v>44114</v>
      </c>
      <c r="I200" s="2" t="n"/>
      <c r="J200" t="inlineStr">
        <is>
          <t>Activo</t>
        </is>
      </c>
      <c r="K200" s="3" t="n">
        <v>0.5</v>
      </c>
      <c r="L200" s="4" t="n">
        <v>36736</v>
      </c>
      <c r="M200" s="3" t="n">
        <v>0.03</v>
      </c>
      <c r="N200" s="3" t="n">
        <v>0.301</v>
      </c>
      <c r="O200" s="4">
        <f>ROUND(L200*K200*(1+M200+N200),2)</f>
        <v/>
      </c>
      <c r="P200" t="inlineStr">
        <is>
          <t>Fernando Ruiz</t>
        </is>
      </c>
      <c r="Q200" t="inlineStr">
        <is>
          <t>España</t>
        </is>
      </c>
      <c r="R200" t="inlineStr">
        <is>
          <t>Sevilla</t>
        </is>
      </c>
    </row>
    <row r="201">
      <c r="A201" t="inlineStr">
        <is>
          <t>EMP-0200</t>
        </is>
      </c>
      <c r="B201" t="inlineStr">
        <is>
          <t>Álex</t>
        </is>
      </c>
      <c r="C201" t="inlineStr">
        <is>
          <t>Ortega</t>
        </is>
      </c>
      <c r="D201" t="inlineStr">
        <is>
          <t>Redacción</t>
        </is>
      </c>
      <c r="E201" t="inlineStr">
        <is>
          <t>Content manager</t>
        </is>
      </c>
      <c r="F201" t="inlineStr">
        <is>
          <t>Mantenimiento intranets</t>
        </is>
      </c>
      <c r="G201" t="inlineStr">
        <is>
          <t>Indefinido</t>
        </is>
      </c>
      <c r="H201" s="2" t="n">
        <v>45624</v>
      </c>
      <c r="I201" s="2" t="n"/>
      <c r="J201" t="inlineStr">
        <is>
          <t>Activo</t>
        </is>
      </c>
      <c r="K201" s="3" t="n">
        <v>0.75</v>
      </c>
      <c r="L201" s="4" t="n">
        <v>48657</v>
      </c>
      <c r="M201" s="3" t="n">
        <v>0</v>
      </c>
      <c r="N201" s="3" t="n">
        <v>0.328</v>
      </c>
      <c r="O201" s="4">
        <f>ROUND(L201*K201*(1+M201+N201),2)</f>
        <v/>
      </c>
      <c r="P201" t="inlineStr">
        <is>
          <t>Patricia Romero</t>
        </is>
      </c>
      <c r="Q201" t="inlineStr">
        <is>
          <t>España</t>
        </is>
      </c>
      <c r="R201" t="inlineStr">
        <is>
          <t>Valencia</t>
        </is>
      </c>
    </row>
    <row r="202">
      <c r="A202" t="inlineStr">
        <is>
          <t>EMP-0201</t>
        </is>
      </c>
      <c r="B202" t="inlineStr">
        <is>
          <t>Alicia</t>
        </is>
      </c>
      <c r="C202" t="inlineStr">
        <is>
          <t>Castro</t>
        </is>
      </c>
      <c r="D202" t="inlineStr">
        <is>
          <t>Atención al cliente</t>
        </is>
      </c>
      <c r="E202" t="inlineStr">
        <is>
          <t>Customer success</t>
        </is>
      </c>
      <c r="F202" t="inlineStr">
        <is>
          <t>Generación de noticias</t>
        </is>
      </c>
      <c r="G202" t="inlineStr">
        <is>
          <t>Indefinido</t>
        </is>
      </c>
      <c r="H202" s="2" t="n">
        <v>45446</v>
      </c>
      <c r="I202" s="2" t="n"/>
      <c r="J202" t="inlineStr">
        <is>
          <t>Activo</t>
        </is>
      </c>
      <c r="K202" s="3" t="n">
        <v>1</v>
      </c>
      <c r="L202" s="4" t="n">
        <v>51496</v>
      </c>
      <c r="M202" s="3" t="n">
        <v>0.1</v>
      </c>
      <c r="N202" s="3" t="n">
        <v>0.329</v>
      </c>
      <c r="O202" s="4">
        <f>ROUND(L202*K202*(1+M202+N202),2)</f>
        <v/>
      </c>
      <c r="P202" t="inlineStr">
        <is>
          <t>Fernando Ruiz</t>
        </is>
      </c>
      <c r="Q202" t="inlineStr">
        <is>
          <t>España</t>
        </is>
      </c>
      <c r="R202" t="inlineStr">
        <is>
          <t>Barcelona</t>
        </is>
      </c>
    </row>
    <row r="203">
      <c r="A203" t="inlineStr">
        <is>
          <t>EMP-0202</t>
        </is>
      </c>
      <c r="B203" t="inlineStr">
        <is>
          <t>Carmen</t>
        </is>
      </c>
      <c r="C203" t="inlineStr">
        <is>
          <t>Ruiz</t>
        </is>
      </c>
      <c r="D203" t="inlineStr">
        <is>
          <t>Operaciones</t>
        </is>
      </c>
      <c r="E203" t="inlineStr">
        <is>
          <t>Especialista de cuentas</t>
        </is>
      </c>
      <c r="F203" t="inlineStr">
        <is>
          <t>Generación de noticias</t>
        </is>
      </c>
      <c r="G203" t="inlineStr">
        <is>
          <t>Indefinido</t>
        </is>
      </c>
      <c r="H203" s="2" t="n">
        <v>44420</v>
      </c>
      <c r="I203" s="2" t="n"/>
      <c r="J203" t="inlineStr">
        <is>
          <t>Activo</t>
        </is>
      </c>
      <c r="K203" s="3" t="n">
        <v>1</v>
      </c>
      <c r="L203" s="4" t="n">
        <v>38038</v>
      </c>
      <c r="M203" s="3" t="n">
        <v>0</v>
      </c>
      <c r="N203" s="3" t="n">
        <v>0.315</v>
      </c>
      <c r="O203" s="4">
        <f>ROUND(L203*K203*(1+M203+N203),2)</f>
        <v/>
      </c>
      <c r="P203" t="inlineStr">
        <is>
          <t>Jorge Molina</t>
        </is>
      </c>
      <c r="Q203" t="inlineStr">
        <is>
          <t>Colombia</t>
        </is>
      </c>
      <c r="R203" t="inlineStr">
        <is>
          <t>Bogotá</t>
        </is>
      </c>
    </row>
    <row r="204">
      <c r="A204" t="inlineStr">
        <is>
          <t>EMP-0203</t>
        </is>
      </c>
      <c r="B204" t="inlineStr">
        <is>
          <t>Raúl</t>
        </is>
      </c>
      <c r="C204" t="inlineStr">
        <is>
          <t>Vázquez</t>
        </is>
      </c>
      <c r="D204" t="inlineStr">
        <is>
          <t>RRHH</t>
        </is>
      </c>
      <c r="E204" t="inlineStr">
        <is>
          <t>Employer branding specialist</t>
        </is>
      </c>
      <c r="F204" t="inlineStr">
        <is>
          <t>Anuncios prensa</t>
        </is>
      </c>
      <c r="G204" t="inlineStr">
        <is>
          <t>Temporal</t>
        </is>
      </c>
      <c r="H204" s="2" t="n">
        <v>44612</v>
      </c>
      <c r="I204" s="2" t="n"/>
      <c r="J204" t="inlineStr">
        <is>
          <t>Activo</t>
        </is>
      </c>
      <c r="K204" s="3" t="n">
        <v>1</v>
      </c>
      <c r="L204" s="4" t="n">
        <v>32724</v>
      </c>
      <c r="M204" s="3" t="n">
        <v>0.08</v>
      </c>
      <c r="N204" s="3" t="n">
        <v>0.28</v>
      </c>
      <c r="O204" s="4">
        <f>ROUND(L204*K204*(1+M204+N204),2)</f>
        <v/>
      </c>
      <c r="P204" t="inlineStr">
        <is>
          <t>Ana Torres</t>
        </is>
      </c>
      <c r="Q204" t="inlineStr">
        <is>
          <t>España</t>
        </is>
      </c>
      <c r="R204" t="inlineStr">
        <is>
          <t>Madrid</t>
        </is>
      </c>
    </row>
    <row r="205">
      <c r="A205" t="inlineStr">
        <is>
          <t>EMP-0204</t>
        </is>
      </c>
      <c r="B205" t="inlineStr">
        <is>
          <t>Miguel</t>
        </is>
      </c>
      <c r="C205" t="inlineStr">
        <is>
          <t>Navarro</t>
        </is>
      </c>
      <c r="D205" t="inlineStr">
        <is>
          <t>Finanzas</t>
        </is>
      </c>
      <c r="E205" t="inlineStr">
        <is>
          <t>Técnico de facturación</t>
        </is>
      </c>
      <c r="F205" t="inlineStr">
        <is>
          <t>Anuncios RRHH</t>
        </is>
      </c>
      <c r="G205" t="inlineStr">
        <is>
          <t>Temporal</t>
        </is>
      </c>
      <c r="H205" s="2" t="n">
        <v>45127</v>
      </c>
      <c r="I205" s="2" t="n"/>
      <c r="J205" t="inlineStr">
        <is>
          <t>Activo</t>
        </is>
      </c>
      <c r="K205" s="3" t="n">
        <v>1</v>
      </c>
      <c r="L205" s="4" t="n">
        <v>33067</v>
      </c>
      <c r="M205" s="3" t="n">
        <v>0.08</v>
      </c>
      <c r="N205" s="3" t="n">
        <v>0.315</v>
      </c>
      <c r="O205" s="4">
        <f>ROUND(L205*K205*(1+M205+N205),2)</f>
        <v/>
      </c>
      <c r="P205" t="inlineStr">
        <is>
          <t>Fernando Ruiz</t>
        </is>
      </c>
      <c r="Q205" t="inlineStr">
        <is>
          <t>Colombia</t>
        </is>
      </c>
      <c r="R205" t="inlineStr">
        <is>
          <t>Medellín</t>
        </is>
      </c>
    </row>
    <row r="206">
      <c r="A206" t="inlineStr">
        <is>
          <t>EMP-0205</t>
        </is>
      </c>
      <c r="B206" t="inlineStr">
        <is>
          <t>Carlos</t>
        </is>
      </c>
      <c r="C206" t="inlineStr">
        <is>
          <t>Sánchez</t>
        </is>
      </c>
      <c r="D206" t="inlineStr">
        <is>
          <t>Marketing</t>
        </is>
      </c>
      <c r="E206" t="inlineStr">
        <is>
          <t>Campaign manager</t>
        </is>
      </c>
      <c r="F206" t="inlineStr">
        <is>
          <t>Mantenimiento web</t>
        </is>
      </c>
      <c r="G206" t="inlineStr">
        <is>
          <t>Freelance</t>
        </is>
      </c>
      <c r="H206" s="2" t="n">
        <v>43748</v>
      </c>
      <c r="I206" s="2" t="n"/>
      <c r="J206" t="inlineStr">
        <is>
          <t>Activo</t>
        </is>
      </c>
      <c r="K206" s="3" t="n">
        <v>0.5</v>
      </c>
      <c r="L206" s="4" t="n">
        <v>41675</v>
      </c>
      <c r="M206" s="3" t="n">
        <v>0.1</v>
      </c>
      <c r="N206" s="3" t="n">
        <v>0.335</v>
      </c>
      <c r="O206" s="4">
        <f>ROUND(L206*K206*(1+M206+N206),2)</f>
        <v/>
      </c>
      <c r="P206" t="inlineStr">
        <is>
          <t>Patricia Romero</t>
        </is>
      </c>
      <c r="Q206" t="inlineStr">
        <is>
          <t>España</t>
        </is>
      </c>
      <c r="R206" t="inlineStr">
        <is>
          <t>Sevilla</t>
        </is>
      </c>
    </row>
    <row r="207">
      <c r="A207" t="inlineStr">
        <is>
          <t>EMP-0206</t>
        </is>
      </c>
      <c r="B207" t="inlineStr">
        <is>
          <t>Natalia</t>
        </is>
      </c>
      <c r="C207" t="inlineStr">
        <is>
          <t>López</t>
        </is>
      </c>
      <c r="D207" t="inlineStr">
        <is>
          <t>Traducción</t>
        </is>
      </c>
      <c r="E207" t="inlineStr">
        <is>
          <t>Traductor</t>
        </is>
      </c>
      <c r="F207" t="inlineStr">
        <is>
          <t>Generación de noticias</t>
        </is>
      </c>
      <c r="G207" t="inlineStr">
        <is>
          <t>Indefinido</t>
        </is>
      </c>
      <c r="H207" s="2" t="n">
        <v>43778</v>
      </c>
      <c r="I207" s="2" t="n">
        <v>44583</v>
      </c>
      <c r="J207" t="inlineStr">
        <is>
          <t>Baja</t>
        </is>
      </c>
      <c r="K207" s="3" t="n">
        <v>0.75</v>
      </c>
      <c r="L207" s="4" t="n">
        <v>36065</v>
      </c>
      <c r="M207" s="3" t="n">
        <v>0.1</v>
      </c>
      <c r="N207" s="3" t="n">
        <v>0.285</v>
      </c>
      <c r="O207" s="4">
        <f>ROUND(L207*K207*(1+M207+N207),2)</f>
        <v/>
      </c>
      <c r="P207" t="inlineStr">
        <is>
          <t>Ana Torres</t>
        </is>
      </c>
      <c r="Q207" t="inlineStr">
        <is>
          <t>España</t>
        </is>
      </c>
      <c r="R207" t="inlineStr">
        <is>
          <t>Valencia</t>
        </is>
      </c>
    </row>
    <row r="208">
      <c r="A208" t="inlineStr">
        <is>
          <t>EMP-0207</t>
        </is>
      </c>
      <c r="B208" t="inlineStr">
        <is>
          <t>David</t>
        </is>
      </c>
      <c r="C208" t="inlineStr">
        <is>
          <t>Delgado</t>
        </is>
      </c>
      <c r="D208" t="inlineStr">
        <is>
          <t>Tecnología</t>
        </is>
      </c>
      <c r="E208" t="inlineStr">
        <is>
          <t>Desarrollador web</t>
        </is>
      </c>
      <c r="F208" t="inlineStr">
        <is>
          <t>Anuncios internet</t>
        </is>
      </c>
      <c r="G208" t="inlineStr">
        <is>
          <t>Indefinido</t>
        </is>
      </c>
      <c r="H208" s="2" t="n">
        <v>43134</v>
      </c>
      <c r="I208" s="2" t="n"/>
      <c r="J208" t="inlineStr">
        <is>
          <t>Activo</t>
        </is>
      </c>
      <c r="K208" s="3" t="n">
        <v>0.5</v>
      </c>
      <c r="L208" s="4" t="n">
        <v>57650</v>
      </c>
      <c r="M208" s="3" t="n">
        <v>0.1</v>
      </c>
      <c r="N208" s="3" t="n">
        <v>0.288</v>
      </c>
      <c r="O208" s="4">
        <f>ROUND(L208*K208*(1+M208+N208),2)</f>
        <v/>
      </c>
      <c r="P208" t="inlineStr">
        <is>
          <t>Luis Gómez</t>
        </is>
      </c>
      <c r="Q208" t="inlineStr">
        <is>
          <t>España</t>
        </is>
      </c>
      <c r="R208" t="inlineStr">
        <is>
          <t>Barcelona</t>
        </is>
      </c>
    </row>
    <row r="209">
      <c r="A209" t="inlineStr">
        <is>
          <t>EMP-0208</t>
        </is>
      </c>
      <c r="B209" t="inlineStr">
        <is>
          <t>Paula</t>
        </is>
      </c>
      <c r="C209" t="inlineStr">
        <is>
          <t>Álvarez</t>
        </is>
      </c>
      <c r="D209" t="inlineStr">
        <is>
          <t>RRHH</t>
        </is>
      </c>
      <c r="E209" t="inlineStr">
        <is>
          <t>Employer branding specialist</t>
        </is>
      </c>
      <c r="F209" t="inlineStr">
        <is>
          <t>Traducciones</t>
        </is>
      </c>
      <c r="G209" t="inlineStr">
        <is>
          <t>Indefinido</t>
        </is>
      </c>
      <c r="H209" s="2" t="n">
        <v>44326</v>
      </c>
      <c r="I209" s="2" t="n"/>
      <c r="J209" t="inlineStr">
        <is>
          <t>Activo</t>
        </is>
      </c>
      <c r="K209" s="3" t="n">
        <v>0.75</v>
      </c>
      <c r="L209" s="4" t="n">
        <v>43023</v>
      </c>
      <c r="M209" s="3" t="n">
        <v>0.1</v>
      </c>
      <c r="N209" s="3" t="n">
        <v>0.289</v>
      </c>
      <c r="O209" s="4">
        <f>ROUND(L209*K209*(1+M209+N209),2)</f>
        <v/>
      </c>
      <c r="P209" t="inlineStr">
        <is>
          <t>Silvia Navarro</t>
        </is>
      </c>
      <c r="Q209" t="inlineStr">
        <is>
          <t>México</t>
        </is>
      </c>
      <c r="R209" t="inlineStr">
        <is>
          <t>Ciudad de México</t>
        </is>
      </c>
    </row>
    <row r="210">
      <c r="A210" t="inlineStr">
        <is>
          <t>EMP-0209</t>
        </is>
      </c>
      <c r="B210" t="inlineStr">
        <is>
          <t>Diego</t>
        </is>
      </c>
      <c r="C210" t="inlineStr">
        <is>
          <t>Iglesias</t>
        </is>
      </c>
      <c r="D210" t="inlineStr">
        <is>
          <t>Operaciones</t>
        </is>
      </c>
      <c r="E210" t="inlineStr">
        <is>
          <t>Coordinador de operaciones</t>
        </is>
      </c>
      <c r="F210" t="inlineStr">
        <is>
          <t>Publicación de noticias</t>
        </is>
      </c>
      <c r="G210" t="inlineStr">
        <is>
          <t>Indefinido</t>
        </is>
      </c>
      <c r="H210" s="2" t="n">
        <v>44913</v>
      </c>
      <c r="I210" s="2" t="n"/>
      <c r="J210" t="inlineStr">
        <is>
          <t>Activo</t>
        </is>
      </c>
      <c r="K210" s="3" t="n">
        <v>0.5</v>
      </c>
      <c r="L210" s="4" t="n">
        <v>51379</v>
      </c>
      <c r="M210" s="3" t="n">
        <v>0</v>
      </c>
      <c r="N210" s="3" t="n">
        <v>0.288</v>
      </c>
      <c r="O210" s="4">
        <f>ROUND(L210*K210*(1+M210+N210),2)</f>
        <v/>
      </c>
      <c r="P210" t="inlineStr">
        <is>
          <t>Silvia Navarro</t>
        </is>
      </c>
      <c r="Q210" t="inlineStr">
        <is>
          <t>España</t>
        </is>
      </c>
      <c r="R210" t="inlineStr">
        <is>
          <t>Barcelona</t>
        </is>
      </c>
    </row>
    <row r="211">
      <c r="A211" t="inlineStr">
        <is>
          <t>EMP-0210</t>
        </is>
      </c>
      <c r="B211" t="inlineStr">
        <is>
          <t>Carmen</t>
        </is>
      </c>
      <c r="C211" t="inlineStr">
        <is>
          <t>Ruiz</t>
        </is>
      </c>
      <c r="D211" t="inlineStr">
        <is>
          <t>RRHH</t>
        </is>
      </c>
      <c r="E211" t="inlineStr">
        <is>
          <t>Employer branding specialist</t>
        </is>
      </c>
      <c r="F211" t="inlineStr">
        <is>
          <t>Anuncios RRHH</t>
        </is>
      </c>
      <c r="G211" t="inlineStr">
        <is>
          <t>Indefinido</t>
        </is>
      </c>
      <c r="H211" s="2" t="n">
        <v>43446</v>
      </c>
      <c r="I211" s="2" t="n"/>
      <c r="J211" t="inlineStr">
        <is>
          <t>Activo</t>
        </is>
      </c>
      <c r="K211" s="3" t="n">
        <v>1</v>
      </c>
      <c r="L211" s="4" t="n">
        <v>41661</v>
      </c>
      <c r="M211" s="3" t="n">
        <v>0.1</v>
      </c>
      <c r="N211" s="3" t="n">
        <v>0.316</v>
      </c>
      <c r="O211" s="4">
        <f>ROUND(L211*K211*(1+M211+N211),2)</f>
        <v/>
      </c>
      <c r="P211" t="inlineStr">
        <is>
          <t>Ana Torres</t>
        </is>
      </c>
      <c r="Q211" t="inlineStr">
        <is>
          <t>Chile</t>
        </is>
      </c>
      <c r="R211" t="inlineStr">
        <is>
          <t>Santiago</t>
        </is>
      </c>
    </row>
    <row r="212">
      <c r="A212" t="inlineStr">
        <is>
          <t>EMP-0211</t>
        </is>
      </c>
      <c r="B212" t="inlineStr">
        <is>
          <t>Raúl</t>
        </is>
      </c>
      <c r="C212" t="inlineStr">
        <is>
          <t>Moreno</t>
        </is>
      </c>
      <c r="D212" t="inlineStr">
        <is>
          <t>Comercial</t>
        </is>
      </c>
      <c r="E212" t="inlineStr">
        <is>
          <t>Business developer</t>
        </is>
      </c>
      <c r="F212" t="inlineStr">
        <is>
          <t>Mantenimiento intranets</t>
        </is>
      </c>
      <c r="G212" t="inlineStr">
        <is>
          <t>Indefinido</t>
        </is>
      </c>
      <c r="H212" s="2" t="n">
        <v>44081</v>
      </c>
      <c r="I212" s="2" t="n"/>
      <c r="J212" t="inlineStr">
        <is>
          <t>Activo</t>
        </is>
      </c>
      <c r="K212" s="3" t="n">
        <v>0.5</v>
      </c>
      <c r="L212" s="4" t="n">
        <v>37991</v>
      </c>
      <c r="M212" s="3" t="n">
        <v>0.1</v>
      </c>
      <c r="N212" s="3" t="n">
        <v>0.316</v>
      </c>
      <c r="O212" s="4">
        <f>ROUND(L212*K212*(1+M212+N212),2)</f>
        <v/>
      </c>
      <c r="P212" t="inlineStr">
        <is>
          <t>Ana Torres</t>
        </is>
      </c>
      <c r="Q212" t="inlineStr">
        <is>
          <t>España</t>
        </is>
      </c>
      <c r="R212" t="inlineStr">
        <is>
          <t>Barcelona</t>
        </is>
      </c>
    </row>
    <row r="213">
      <c r="A213" t="inlineStr">
        <is>
          <t>EMP-0212</t>
        </is>
      </c>
      <c r="B213" t="inlineStr">
        <is>
          <t>Adrián</t>
        </is>
      </c>
      <c r="C213" t="inlineStr">
        <is>
          <t>Ramos</t>
        </is>
      </c>
      <c r="D213" t="inlineStr">
        <is>
          <t>Marketing</t>
        </is>
      </c>
      <c r="E213" t="inlineStr">
        <is>
          <t>Especialista SEM</t>
        </is>
      </c>
      <c r="F213" t="inlineStr">
        <is>
          <t>Anuncios RRHH</t>
        </is>
      </c>
      <c r="G213" t="inlineStr">
        <is>
          <t>Indefinido</t>
        </is>
      </c>
      <c r="H213" s="2" t="n">
        <v>45030</v>
      </c>
      <c r="I213" s="2" t="n"/>
      <c r="J213" t="inlineStr">
        <is>
          <t>Activo</t>
        </is>
      </c>
      <c r="K213" s="3" t="n">
        <v>0.5</v>
      </c>
      <c r="L213" s="4" t="n">
        <v>31357</v>
      </c>
      <c r="M213" s="3" t="n">
        <v>0</v>
      </c>
      <c r="N213" s="3" t="n">
        <v>0.281</v>
      </c>
      <c r="O213" s="4">
        <f>ROUND(L213*K213*(1+M213+N213),2)</f>
        <v/>
      </c>
      <c r="P213" t="inlineStr">
        <is>
          <t>Ana Torres</t>
        </is>
      </c>
      <c r="Q213" t="inlineStr">
        <is>
          <t>España</t>
        </is>
      </c>
      <c r="R213" t="inlineStr">
        <is>
          <t>Sevilla</t>
        </is>
      </c>
    </row>
    <row r="214">
      <c r="A214" t="inlineStr">
        <is>
          <t>EMP-0213</t>
        </is>
      </c>
      <c r="B214" t="inlineStr">
        <is>
          <t>Víctor</t>
        </is>
      </c>
      <c r="C214" t="inlineStr">
        <is>
          <t>Castro</t>
        </is>
      </c>
      <c r="D214" t="inlineStr">
        <is>
          <t>Operaciones</t>
        </is>
      </c>
      <c r="E214" t="inlineStr">
        <is>
          <t>Project manager</t>
        </is>
      </c>
      <c r="F214" t="inlineStr">
        <is>
          <t>Anuncios prensa</t>
        </is>
      </c>
      <c r="G214" t="inlineStr">
        <is>
          <t>Indefinido</t>
        </is>
      </c>
      <c r="H214" s="2" t="n">
        <v>45298</v>
      </c>
      <c r="I214" s="2" t="n"/>
      <c r="J214" t="inlineStr">
        <is>
          <t>Activo</t>
        </is>
      </c>
      <c r="K214" s="3" t="n">
        <v>0.75</v>
      </c>
      <c r="L214" s="4" t="n">
        <v>31092</v>
      </c>
      <c r="M214" s="3" t="n">
        <v>0</v>
      </c>
      <c r="N214" s="3" t="n">
        <v>0.299</v>
      </c>
      <c r="O214" s="4">
        <f>ROUND(L214*K214*(1+M214+N214),2)</f>
        <v/>
      </c>
      <c r="P214" t="inlineStr">
        <is>
          <t>Luis Gómez</t>
        </is>
      </c>
      <c r="Q214" t="inlineStr">
        <is>
          <t>España</t>
        </is>
      </c>
      <c r="R214" t="inlineStr">
        <is>
          <t>Sevilla</t>
        </is>
      </c>
    </row>
    <row r="215">
      <c r="A215" t="inlineStr">
        <is>
          <t>EMP-0214</t>
        </is>
      </c>
      <c r="B215" t="inlineStr">
        <is>
          <t>Hugo</t>
        </is>
      </c>
      <c r="C215" t="inlineStr">
        <is>
          <t>Castro</t>
        </is>
      </c>
      <c r="D215" t="inlineStr">
        <is>
          <t>Traducción</t>
        </is>
      </c>
      <c r="E215" t="inlineStr">
        <is>
          <t>Traductor</t>
        </is>
      </c>
      <c r="F215" t="inlineStr">
        <is>
          <t>Anuncios TV</t>
        </is>
      </c>
      <c r="G215" t="inlineStr">
        <is>
          <t>Indefinido</t>
        </is>
      </c>
      <c r="H215" s="2" t="n">
        <v>44078</v>
      </c>
      <c r="I215" s="2" t="n">
        <v>44434</v>
      </c>
      <c r="J215" t="inlineStr">
        <is>
          <t>Baja</t>
        </is>
      </c>
      <c r="K215" s="3" t="n">
        <v>1</v>
      </c>
      <c r="L215" s="4" t="n">
        <v>25800</v>
      </c>
      <c r="M215" s="3" t="n">
        <v>0.05</v>
      </c>
      <c r="N215" s="3" t="n">
        <v>0.317</v>
      </c>
      <c r="O215" s="4">
        <f>ROUND(L215*K215*(1+M215+N215),2)</f>
        <v/>
      </c>
      <c r="P215" t="inlineStr">
        <is>
          <t>Patricia Romero</t>
        </is>
      </c>
      <c r="Q215" t="inlineStr">
        <is>
          <t>España</t>
        </is>
      </c>
      <c r="R215" t="inlineStr">
        <is>
          <t>Madrid</t>
        </is>
      </c>
    </row>
    <row r="216">
      <c r="A216" t="inlineStr">
        <is>
          <t>EMP-0215</t>
        </is>
      </c>
      <c r="B216" t="inlineStr">
        <is>
          <t>Lucía</t>
        </is>
      </c>
      <c r="C216" t="inlineStr">
        <is>
          <t>Gómez</t>
        </is>
      </c>
      <c r="D216" t="inlineStr">
        <is>
          <t>Traducción</t>
        </is>
      </c>
      <c r="E216" t="inlineStr">
        <is>
          <t>Revisor lingüístico</t>
        </is>
      </c>
      <c r="F216" t="inlineStr">
        <is>
          <t>Traducciones</t>
        </is>
      </c>
      <c r="G216" t="inlineStr">
        <is>
          <t>Indefinido</t>
        </is>
      </c>
      <c r="H216" s="2" t="n">
        <v>44521</v>
      </c>
      <c r="I216" s="2" t="n"/>
      <c r="J216" t="inlineStr">
        <is>
          <t>Activo</t>
        </is>
      </c>
      <c r="K216" s="3" t="n">
        <v>1</v>
      </c>
      <c r="L216" s="4" t="n">
        <v>27471</v>
      </c>
      <c r="M216" s="3" t="n">
        <v>0.03</v>
      </c>
      <c r="N216" s="3" t="n">
        <v>0.288</v>
      </c>
      <c r="O216" s="4">
        <f>ROUND(L216*K216*(1+M216+N216),2)</f>
        <v/>
      </c>
      <c r="P216" t="inlineStr">
        <is>
          <t>Jorge Molina</t>
        </is>
      </c>
      <c r="Q216" t="inlineStr">
        <is>
          <t>España</t>
        </is>
      </c>
      <c r="R216" t="inlineStr">
        <is>
          <t>Barcelona</t>
        </is>
      </c>
    </row>
    <row r="217">
      <c r="A217" t="inlineStr">
        <is>
          <t>EMP-0216</t>
        </is>
      </c>
      <c r="B217" t="inlineStr">
        <is>
          <t>Rubén</t>
        </is>
      </c>
      <c r="C217" t="inlineStr">
        <is>
          <t>Vázquez</t>
        </is>
      </c>
      <c r="D217" t="inlineStr">
        <is>
          <t>Redacción</t>
        </is>
      </c>
      <c r="E217" t="inlineStr">
        <is>
          <t>Editor</t>
        </is>
      </c>
      <c r="F217" t="inlineStr">
        <is>
          <t>Mantenimiento web</t>
        </is>
      </c>
      <c r="G217" t="inlineStr">
        <is>
          <t>Indefinido</t>
        </is>
      </c>
      <c r="H217" s="2" t="n">
        <v>45462</v>
      </c>
      <c r="I217" s="2" t="n"/>
      <c r="J217" t="inlineStr">
        <is>
          <t>Activo</t>
        </is>
      </c>
      <c r="K217" s="3" t="n">
        <v>1</v>
      </c>
      <c r="L217" s="4" t="n">
        <v>36915</v>
      </c>
      <c r="M217" s="3" t="n">
        <v>0.08</v>
      </c>
      <c r="N217" s="3" t="n">
        <v>0.302</v>
      </c>
      <c r="O217" s="4">
        <f>ROUND(L217*K217*(1+M217+N217),2)</f>
        <v/>
      </c>
      <c r="P217" t="inlineStr">
        <is>
          <t>Silvia Navarro</t>
        </is>
      </c>
      <c r="Q217" t="inlineStr">
        <is>
          <t>España</t>
        </is>
      </c>
      <c r="R217" t="inlineStr">
        <is>
          <t>Sevilla</t>
        </is>
      </c>
    </row>
    <row r="218">
      <c r="A218" t="inlineStr">
        <is>
          <t>EMP-0217</t>
        </is>
      </c>
      <c r="B218" t="inlineStr">
        <is>
          <t>Marina</t>
        </is>
      </c>
      <c r="C218" t="inlineStr">
        <is>
          <t>Delgado</t>
        </is>
      </c>
      <c r="D218" t="inlineStr">
        <is>
          <t>Traducción</t>
        </is>
      </c>
      <c r="E218" t="inlineStr">
        <is>
          <t>Traductor</t>
        </is>
      </c>
      <c r="F218" t="inlineStr">
        <is>
          <t>Anuncios RRHH</t>
        </is>
      </c>
      <c r="G218" t="inlineStr">
        <is>
          <t>Temporal</t>
        </is>
      </c>
      <c r="H218" s="2" t="n">
        <v>44036</v>
      </c>
      <c r="I218" s="2" t="n"/>
      <c r="J218" t="inlineStr">
        <is>
          <t>Activo</t>
        </is>
      </c>
      <c r="K218" s="3" t="n">
        <v>0.5</v>
      </c>
      <c r="L218" s="4" t="n">
        <v>23443</v>
      </c>
      <c r="M218" s="3" t="n">
        <v>0.12</v>
      </c>
      <c r="N218" s="3" t="n">
        <v>0.332</v>
      </c>
      <c r="O218" s="4">
        <f>ROUND(L218*K218*(1+M218+N218),2)</f>
        <v/>
      </c>
      <c r="P218" t="inlineStr">
        <is>
          <t>Ana Torres</t>
        </is>
      </c>
      <c r="Q218" t="inlineStr">
        <is>
          <t>España</t>
        </is>
      </c>
      <c r="R218" t="inlineStr">
        <is>
          <t>Madrid</t>
        </is>
      </c>
    </row>
    <row r="219">
      <c r="A219" t="inlineStr">
        <is>
          <t>EMP-0218</t>
        </is>
      </c>
      <c r="B219" t="inlineStr">
        <is>
          <t>Pablo</t>
        </is>
      </c>
      <c r="C219" t="inlineStr">
        <is>
          <t>Iglesias</t>
        </is>
      </c>
      <c r="D219" t="inlineStr">
        <is>
          <t>Finanzas</t>
        </is>
      </c>
      <c r="E219" t="inlineStr">
        <is>
          <t>Técnico de facturación</t>
        </is>
      </c>
      <c r="F219" t="inlineStr">
        <is>
          <t>Anuncios RRHH</t>
        </is>
      </c>
      <c r="G219" t="inlineStr">
        <is>
          <t>Freelance</t>
        </is>
      </c>
      <c r="H219" s="2" t="n">
        <v>43245</v>
      </c>
      <c r="I219" s="2" t="n"/>
      <c r="J219" t="inlineStr">
        <is>
          <t>Activo</t>
        </is>
      </c>
      <c r="K219" s="3" t="n">
        <v>1</v>
      </c>
      <c r="L219" s="4" t="n">
        <v>29356</v>
      </c>
      <c r="M219" s="3" t="n">
        <v>0.03</v>
      </c>
      <c r="N219" s="3" t="n">
        <v>0.295</v>
      </c>
      <c r="O219" s="4">
        <f>ROUND(L219*K219*(1+M219+N219),2)</f>
        <v/>
      </c>
      <c r="P219" t="inlineStr">
        <is>
          <t>Patricia Romero</t>
        </is>
      </c>
      <c r="Q219" t="inlineStr">
        <is>
          <t>España</t>
        </is>
      </c>
      <c r="R219" t="inlineStr">
        <is>
          <t>Barcelona</t>
        </is>
      </c>
    </row>
    <row r="220">
      <c r="A220" t="inlineStr">
        <is>
          <t>EMP-0219</t>
        </is>
      </c>
      <c r="B220" t="inlineStr">
        <is>
          <t>Noelia</t>
        </is>
      </c>
      <c r="C220" t="inlineStr">
        <is>
          <t>Delgado</t>
        </is>
      </c>
      <c r="D220" t="inlineStr">
        <is>
          <t>Comercial</t>
        </is>
      </c>
      <c r="E220" t="inlineStr">
        <is>
          <t>Sales manager</t>
        </is>
      </c>
      <c r="F220" t="inlineStr">
        <is>
          <t>Traducciones</t>
        </is>
      </c>
      <c r="G220" t="inlineStr">
        <is>
          <t>Freelance</t>
        </is>
      </c>
      <c r="H220" s="2" t="n">
        <v>43835</v>
      </c>
      <c r="I220" s="2" t="n"/>
      <c r="J220" t="inlineStr">
        <is>
          <t>Activo</t>
        </is>
      </c>
      <c r="K220" s="3" t="n">
        <v>1</v>
      </c>
      <c r="L220" s="4" t="n">
        <v>35319</v>
      </c>
      <c r="M220" s="3" t="n">
        <v>0.05</v>
      </c>
      <c r="N220" s="3" t="n">
        <v>0.284</v>
      </c>
      <c r="O220" s="4">
        <f>ROUND(L220*K220*(1+M220+N220),2)</f>
        <v/>
      </c>
      <c r="P220" t="inlineStr">
        <is>
          <t>Patricia Romero</t>
        </is>
      </c>
      <c r="Q220" t="inlineStr">
        <is>
          <t>España</t>
        </is>
      </c>
      <c r="R220" t="inlineStr">
        <is>
          <t>Madrid</t>
        </is>
      </c>
    </row>
    <row r="221">
      <c r="A221" t="inlineStr">
        <is>
          <t>EMP-0220</t>
        </is>
      </c>
      <c r="B221" t="inlineStr">
        <is>
          <t>Lucía</t>
        </is>
      </c>
      <c r="C221" t="inlineStr">
        <is>
          <t>Romero</t>
        </is>
      </c>
      <c r="D221" t="inlineStr">
        <is>
          <t>Comercial</t>
        </is>
      </c>
      <c r="E221" t="inlineStr">
        <is>
          <t>Sales manager</t>
        </is>
      </c>
      <c r="F221" t="inlineStr">
        <is>
          <t>Anuncios RRHH</t>
        </is>
      </c>
      <c r="G221" t="inlineStr">
        <is>
          <t>Indefinido</t>
        </is>
      </c>
      <c r="H221" s="2" t="n">
        <v>45410</v>
      </c>
      <c r="I221" s="2" t="n"/>
      <c r="J221" t="inlineStr">
        <is>
          <t>Activo</t>
        </is>
      </c>
      <c r="K221" s="3" t="n">
        <v>1</v>
      </c>
      <c r="L221" s="4" t="n">
        <v>37748</v>
      </c>
      <c r="M221" s="3" t="n">
        <v>0.03</v>
      </c>
      <c r="N221" s="3" t="n">
        <v>0.316</v>
      </c>
      <c r="O221" s="4">
        <f>ROUND(L221*K221*(1+M221+N221),2)</f>
        <v/>
      </c>
      <c r="P221" t="inlineStr">
        <is>
          <t>Luis Gómez</t>
        </is>
      </c>
      <c r="Q221" t="inlineStr">
        <is>
          <t>España</t>
        </is>
      </c>
      <c r="R221" t="inlineStr">
        <is>
          <t>Sevilla</t>
        </is>
      </c>
    </row>
    <row r="222">
      <c r="A222" t="inlineStr">
        <is>
          <t>EMP-0221</t>
        </is>
      </c>
      <c r="B222" t="inlineStr">
        <is>
          <t>Carlos</t>
        </is>
      </c>
      <c r="C222" t="inlineStr">
        <is>
          <t>Ruiz</t>
        </is>
      </c>
      <c r="D222" t="inlineStr">
        <is>
          <t>Atención al cliente</t>
        </is>
      </c>
      <c r="E222" t="inlineStr">
        <is>
          <t>Account support</t>
        </is>
      </c>
      <c r="F222" t="inlineStr">
        <is>
          <t>Mantenimiento intranets</t>
        </is>
      </c>
      <c r="G222" t="inlineStr">
        <is>
          <t>Indefinido</t>
        </is>
      </c>
      <c r="H222" s="2" t="n">
        <v>43140</v>
      </c>
      <c r="I222" s="2" t="n"/>
      <c r="J222" t="inlineStr">
        <is>
          <t>Activo</t>
        </is>
      </c>
      <c r="K222" s="3" t="n">
        <v>0.5</v>
      </c>
      <c r="L222" s="4" t="n">
        <v>46868</v>
      </c>
      <c r="M222" s="3" t="n">
        <v>0.1</v>
      </c>
      <c r="N222" s="3" t="n">
        <v>0.303</v>
      </c>
      <c r="O222" s="4">
        <f>ROUND(L222*K222*(1+M222+N222),2)</f>
        <v/>
      </c>
      <c r="P222" t="inlineStr">
        <is>
          <t>Jorge Molina</t>
        </is>
      </c>
      <c r="Q222" t="inlineStr">
        <is>
          <t>España</t>
        </is>
      </c>
      <c r="R222" t="inlineStr">
        <is>
          <t>Sevilla</t>
        </is>
      </c>
    </row>
    <row r="223">
      <c r="A223" t="inlineStr">
        <is>
          <t>EMP-0222</t>
        </is>
      </c>
      <c r="B223" t="inlineStr">
        <is>
          <t>Nuria</t>
        </is>
      </c>
      <c r="C223" t="inlineStr">
        <is>
          <t>Domínguez</t>
        </is>
      </c>
      <c r="D223" t="inlineStr">
        <is>
          <t>Comercial</t>
        </is>
      </c>
      <c r="E223" t="inlineStr">
        <is>
          <t>Business developer</t>
        </is>
      </c>
      <c r="F223" t="inlineStr">
        <is>
          <t>Traducciones</t>
        </is>
      </c>
      <c r="G223" t="inlineStr">
        <is>
          <t>Freelance</t>
        </is>
      </c>
      <c r="H223" s="2" t="n">
        <v>43684</v>
      </c>
      <c r="I223" s="2" t="n"/>
      <c r="J223" t="inlineStr">
        <is>
          <t>Activo</t>
        </is>
      </c>
      <c r="K223" s="3" t="n">
        <v>0.5</v>
      </c>
      <c r="L223" s="4" t="n">
        <v>34985</v>
      </c>
      <c r="M223" s="3" t="n">
        <v>0</v>
      </c>
      <c r="N223" s="3" t="n">
        <v>0.334</v>
      </c>
      <c r="O223" s="4">
        <f>ROUND(L223*K223*(1+M223+N223),2)</f>
        <v/>
      </c>
      <c r="P223" t="inlineStr">
        <is>
          <t>Fernando Ruiz</t>
        </is>
      </c>
      <c r="Q223" t="inlineStr">
        <is>
          <t>España</t>
        </is>
      </c>
      <c r="R223" t="inlineStr">
        <is>
          <t>Barcelona</t>
        </is>
      </c>
    </row>
    <row r="224">
      <c r="A224" t="inlineStr">
        <is>
          <t>EMP-0223</t>
        </is>
      </c>
      <c r="B224" t="inlineStr">
        <is>
          <t>Joel</t>
        </is>
      </c>
      <c r="C224" t="inlineStr">
        <is>
          <t>Sánchez</t>
        </is>
      </c>
      <c r="D224" t="inlineStr">
        <is>
          <t>Marketing</t>
        </is>
      </c>
      <c r="E224" t="inlineStr">
        <is>
          <t>Media planner</t>
        </is>
      </c>
      <c r="F224" t="inlineStr">
        <is>
          <t>Anuncios internet</t>
        </is>
      </c>
      <c r="G224" t="inlineStr">
        <is>
          <t>Indefinido</t>
        </is>
      </c>
      <c r="H224" s="2" t="n">
        <v>44716</v>
      </c>
      <c r="I224" s="2" t="n">
        <v>46058</v>
      </c>
      <c r="J224" t="inlineStr">
        <is>
          <t>Baja</t>
        </is>
      </c>
      <c r="K224" s="3" t="n">
        <v>0.5</v>
      </c>
      <c r="L224" s="4" t="n">
        <v>45679</v>
      </c>
      <c r="M224" s="3" t="n">
        <v>0</v>
      </c>
      <c r="N224" s="3" t="n">
        <v>0.294</v>
      </c>
      <c r="O224" s="4">
        <f>ROUND(L224*K224*(1+M224+N224),2)</f>
        <v/>
      </c>
      <c r="P224" t="inlineStr">
        <is>
          <t>Patricia Romero</t>
        </is>
      </c>
      <c r="Q224" t="inlineStr">
        <is>
          <t>Chile</t>
        </is>
      </c>
      <c r="R224" t="inlineStr">
        <is>
          <t>Santiago</t>
        </is>
      </c>
    </row>
    <row r="225">
      <c r="A225" t="inlineStr">
        <is>
          <t>EMP-0224</t>
        </is>
      </c>
      <c r="B225" t="inlineStr">
        <is>
          <t>Irene</t>
        </is>
      </c>
      <c r="C225" t="inlineStr">
        <is>
          <t>López</t>
        </is>
      </c>
      <c r="D225" t="inlineStr">
        <is>
          <t>RRHH</t>
        </is>
      </c>
      <c r="E225" t="inlineStr">
        <is>
          <t>Recruitment marketer</t>
        </is>
      </c>
      <c r="F225" t="inlineStr">
        <is>
          <t>Anuncios RRHH</t>
        </is>
      </c>
      <c r="G225" t="inlineStr">
        <is>
          <t>Freelance</t>
        </is>
      </c>
      <c r="H225" s="2" t="n">
        <v>43658</v>
      </c>
      <c r="I225" s="2" t="n"/>
      <c r="J225" t="inlineStr">
        <is>
          <t>Activo</t>
        </is>
      </c>
      <c r="K225" s="3" t="n">
        <v>1</v>
      </c>
      <c r="L225" s="4" t="n">
        <v>25570</v>
      </c>
      <c r="M225" s="3" t="n">
        <v>0</v>
      </c>
      <c r="N225" s="3" t="n">
        <v>0.286</v>
      </c>
      <c r="O225" s="4">
        <f>ROUND(L225*K225*(1+M225+N225),2)</f>
        <v/>
      </c>
      <c r="P225" t="inlineStr">
        <is>
          <t>Fernando Ruiz</t>
        </is>
      </c>
      <c r="Q225" t="inlineStr">
        <is>
          <t>España</t>
        </is>
      </c>
      <c r="R225" t="inlineStr">
        <is>
          <t>Valencia</t>
        </is>
      </c>
    </row>
    <row r="226">
      <c r="A226" t="inlineStr">
        <is>
          <t>EMP-0225</t>
        </is>
      </c>
      <c r="B226" t="inlineStr">
        <is>
          <t>Miguel</t>
        </is>
      </c>
      <c r="C226" t="inlineStr">
        <is>
          <t>Torres</t>
        </is>
      </c>
      <c r="D226" t="inlineStr">
        <is>
          <t>Marketing</t>
        </is>
      </c>
      <c r="E226" t="inlineStr">
        <is>
          <t>Campaign manager</t>
        </is>
      </c>
      <c r="F226" t="inlineStr">
        <is>
          <t>Anuncios prensa</t>
        </is>
      </c>
      <c r="G226" t="inlineStr">
        <is>
          <t>Indefinido</t>
        </is>
      </c>
      <c r="H226" s="2" t="n">
        <v>44186</v>
      </c>
      <c r="I226" s="2" t="n"/>
      <c r="J226" t="inlineStr">
        <is>
          <t>Activo</t>
        </is>
      </c>
      <c r="K226" s="3" t="n">
        <v>0.5</v>
      </c>
      <c r="L226" s="4" t="n">
        <v>37779</v>
      </c>
      <c r="M226" s="3" t="n">
        <v>0.1</v>
      </c>
      <c r="N226" s="3" t="n">
        <v>0.298</v>
      </c>
      <c r="O226" s="4">
        <f>ROUND(L226*K226*(1+M226+N226),2)</f>
        <v/>
      </c>
      <c r="P226" t="inlineStr">
        <is>
          <t>Jorge Molina</t>
        </is>
      </c>
      <c r="Q226" t="inlineStr">
        <is>
          <t>España</t>
        </is>
      </c>
      <c r="R226" t="inlineStr">
        <is>
          <t>Valencia</t>
        </is>
      </c>
    </row>
    <row r="227">
      <c r="A227" t="inlineStr">
        <is>
          <t>EMP-0226</t>
        </is>
      </c>
      <c r="B227" t="inlineStr">
        <is>
          <t>Diego</t>
        </is>
      </c>
      <c r="C227" t="inlineStr">
        <is>
          <t>López</t>
        </is>
      </c>
      <c r="D227" t="inlineStr">
        <is>
          <t>Operaciones</t>
        </is>
      </c>
      <c r="E227" t="inlineStr">
        <is>
          <t>Coordinador de operaciones</t>
        </is>
      </c>
      <c r="F227" t="inlineStr">
        <is>
          <t>Mantenimiento intranets</t>
        </is>
      </c>
      <c r="G227" t="inlineStr">
        <is>
          <t>Indefinido</t>
        </is>
      </c>
      <c r="H227" s="2" t="n">
        <v>44558</v>
      </c>
      <c r="I227" s="2" t="n"/>
      <c r="J227" t="inlineStr">
        <is>
          <t>Activo</t>
        </is>
      </c>
      <c r="K227" s="3" t="n">
        <v>0.5</v>
      </c>
      <c r="L227" s="4" t="n">
        <v>44189</v>
      </c>
      <c r="M227" s="3" t="n">
        <v>0.03</v>
      </c>
      <c r="N227" s="3" t="n">
        <v>0.296</v>
      </c>
      <c r="O227" s="4">
        <f>ROUND(L227*K227*(1+M227+N227),2)</f>
        <v/>
      </c>
      <c r="P227" t="inlineStr">
        <is>
          <t>Ana Torres</t>
        </is>
      </c>
      <c r="Q227" t="inlineStr">
        <is>
          <t>Colombia</t>
        </is>
      </c>
      <c r="R227" t="inlineStr">
        <is>
          <t>Medellín</t>
        </is>
      </c>
    </row>
    <row r="228">
      <c r="A228" t="inlineStr">
        <is>
          <t>EMP-0227</t>
        </is>
      </c>
      <c r="B228" t="inlineStr">
        <is>
          <t>Paula</t>
        </is>
      </c>
      <c r="C228" t="inlineStr">
        <is>
          <t>Torres</t>
        </is>
      </c>
      <c r="D228" t="inlineStr">
        <is>
          <t>RRHH</t>
        </is>
      </c>
      <c r="E228" t="inlineStr">
        <is>
          <t>Especialista RRHH</t>
        </is>
      </c>
      <c r="F228" t="inlineStr">
        <is>
          <t>Anuncios internet</t>
        </is>
      </c>
      <c r="G228" t="inlineStr">
        <is>
          <t>Indefinido</t>
        </is>
      </c>
      <c r="H228" s="2" t="n">
        <v>43673</v>
      </c>
      <c r="I228" s="2" t="n"/>
      <c r="J228" t="inlineStr">
        <is>
          <t>Activo</t>
        </is>
      </c>
      <c r="K228" s="3" t="n">
        <v>0.5</v>
      </c>
      <c r="L228" s="4" t="n">
        <v>49209</v>
      </c>
      <c r="M228" s="3" t="n">
        <v>0.12</v>
      </c>
      <c r="N228" s="3" t="n">
        <v>0.339</v>
      </c>
      <c r="O228" s="4">
        <f>ROUND(L228*K228*(1+M228+N228),2)</f>
        <v/>
      </c>
      <c r="P228" t="inlineStr">
        <is>
          <t>Luis Gómez</t>
        </is>
      </c>
      <c r="Q228" t="inlineStr">
        <is>
          <t>España</t>
        </is>
      </c>
      <c r="R228" t="inlineStr">
        <is>
          <t>Barcelona</t>
        </is>
      </c>
    </row>
    <row r="229">
      <c r="A229" t="inlineStr">
        <is>
          <t>EMP-0228</t>
        </is>
      </c>
      <c r="B229" t="inlineStr">
        <is>
          <t>Joel</t>
        </is>
      </c>
      <c r="C229" t="inlineStr">
        <is>
          <t>Gil</t>
        </is>
      </c>
      <c r="D229" t="inlineStr">
        <is>
          <t>RRHH</t>
        </is>
      </c>
      <c r="E229" t="inlineStr">
        <is>
          <t>Especialista RRHH</t>
        </is>
      </c>
      <c r="F229" t="inlineStr">
        <is>
          <t>Anuncios RRHH</t>
        </is>
      </c>
      <c r="G229" t="inlineStr">
        <is>
          <t>Indefinido</t>
        </is>
      </c>
      <c r="H229" s="2" t="n">
        <v>43408</v>
      </c>
      <c r="I229" s="2" t="n">
        <v>43720</v>
      </c>
      <c r="J229" t="inlineStr">
        <is>
          <t>Baja</t>
        </is>
      </c>
      <c r="K229" s="3" t="n">
        <v>0.75</v>
      </c>
      <c r="L229" s="4" t="n">
        <v>51572</v>
      </c>
      <c r="M229" s="3" t="n">
        <v>0.1</v>
      </c>
      <c r="N229" s="3" t="n">
        <v>0.307</v>
      </c>
      <c r="O229" s="4">
        <f>ROUND(L229*K229*(1+M229+N229),2)</f>
        <v/>
      </c>
      <c r="P229" t="inlineStr">
        <is>
          <t>Ana Torres</t>
        </is>
      </c>
      <c r="Q229" t="inlineStr">
        <is>
          <t>México</t>
        </is>
      </c>
      <c r="R229" t="inlineStr">
        <is>
          <t>Ciudad de México</t>
        </is>
      </c>
    </row>
    <row r="230">
      <c r="A230" t="inlineStr">
        <is>
          <t>EMP-0229</t>
        </is>
      </c>
      <c r="B230" t="inlineStr">
        <is>
          <t>Javier</t>
        </is>
      </c>
      <c r="C230" t="inlineStr">
        <is>
          <t>Gómez</t>
        </is>
      </c>
      <c r="D230" t="inlineStr">
        <is>
          <t>Marketing</t>
        </is>
      </c>
      <c r="E230" t="inlineStr">
        <is>
          <t>Especialista SEM</t>
        </is>
      </c>
      <c r="F230" t="inlineStr">
        <is>
          <t>Traducciones</t>
        </is>
      </c>
      <c r="G230" t="inlineStr">
        <is>
          <t>Freelance</t>
        </is>
      </c>
      <c r="H230" s="2" t="n">
        <v>44875</v>
      </c>
      <c r="I230" s="2" t="n"/>
      <c r="J230" t="inlineStr">
        <is>
          <t>Activo</t>
        </is>
      </c>
      <c r="K230" s="3" t="n">
        <v>1</v>
      </c>
      <c r="L230" s="4" t="n">
        <v>42498</v>
      </c>
      <c r="M230" s="3" t="n">
        <v>0.05</v>
      </c>
      <c r="N230" s="3" t="n">
        <v>0.321</v>
      </c>
      <c r="O230" s="4">
        <f>ROUND(L230*K230*(1+M230+N230),2)</f>
        <v/>
      </c>
      <c r="P230" t="inlineStr">
        <is>
          <t>Patricia Romero</t>
        </is>
      </c>
      <c r="Q230" t="inlineStr">
        <is>
          <t>España</t>
        </is>
      </c>
      <c r="R230" t="inlineStr">
        <is>
          <t>Sevilla</t>
        </is>
      </c>
    </row>
    <row r="231">
      <c r="A231" t="inlineStr">
        <is>
          <t>EMP-0230</t>
        </is>
      </c>
      <c r="B231" t="inlineStr">
        <is>
          <t>Diego</t>
        </is>
      </c>
      <c r="C231" t="inlineStr">
        <is>
          <t>Martínez</t>
        </is>
      </c>
      <c r="D231" t="inlineStr">
        <is>
          <t>Tecnología</t>
        </is>
      </c>
      <c r="E231" t="inlineStr">
        <is>
          <t>Desarrollador web</t>
        </is>
      </c>
      <c r="F231" t="inlineStr">
        <is>
          <t>Publicación de noticias</t>
        </is>
      </c>
      <c r="G231" t="inlineStr">
        <is>
          <t>Indefinido</t>
        </is>
      </c>
      <c r="H231" s="2" t="n">
        <v>45628</v>
      </c>
      <c r="I231" s="2" t="n"/>
      <c r="J231" t="inlineStr">
        <is>
          <t>Activo</t>
        </is>
      </c>
      <c r="K231" s="3" t="n">
        <v>1</v>
      </c>
      <c r="L231" s="4" t="n">
        <v>45722</v>
      </c>
      <c r="M231" s="3" t="n">
        <v>0.08</v>
      </c>
      <c r="N231" s="3" t="n">
        <v>0.309</v>
      </c>
      <c r="O231" s="4">
        <f>ROUND(L231*K231*(1+M231+N231),2)</f>
        <v/>
      </c>
      <c r="P231" t="inlineStr">
        <is>
          <t>Patricia Romero</t>
        </is>
      </c>
      <c r="Q231" t="inlineStr">
        <is>
          <t>España</t>
        </is>
      </c>
      <c r="R231" t="inlineStr">
        <is>
          <t>Sevilla</t>
        </is>
      </c>
    </row>
    <row r="232">
      <c r="A232" t="inlineStr">
        <is>
          <t>EMP-0231</t>
        </is>
      </c>
      <c r="B232" t="inlineStr">
        <is>
          <t>Eva</t>
        </is>
      </c>
      <c r="C232" t="inlineStr">
        <is>
          <t>Blanco</t>
        </is>
      </c>
      <c r="D232" t="inlineStr">
        <is>
          <t>RRHH</t>
        </is>
      </c>
      <c r="E232" t="inlineStr">
        <is>
          <t>Recruitment marketer</t>
        </is>
      </c>
      <c r="F232" t="inlineStr">
        <is>
          <t>Publicación de noticias</t>
        </is>
      </c>
      <c r="G232" t="inlineStr">
        <is>
          <t>Indefinido</t>
        </is>
      </c>
      <c r="H232" s="2" t="n">
        <v>44667</v>
      </c>
      <c r="I232" s="2" t="n"/>
      <c r="J232" t="inlineStr">
        <is>
          <t>Activo</t>
        </is>
      </c>
      <c r="K232" s="3" t="n">
        <v>1</v>
      </c>
      <c r="L232" s="4" t="n">
        <v>37718</v>
      </c>
      <c r="M232" s="3" t="n">
        <v>0.08</v>
      </c>
      <c r="N232" s="3" t="n">
        <v>0.327</v>
      </c>
      <c r="O232" s="4">
        <f>ROUND(L232*K232*(1+M232+N232),2)</f>
        <v/>
      </c>
      <c r="P232" t="inlineStr">
        <is>
          <t>Silvia Navarro</t>
        </is>
      </c>
      <c r="Q232" t="inlineStr">
        <is>
          <t>España</t>
        </is>
      </c>
      <c r="R232" t="inlineStr">
        <is>
          <t>Barcelona</t>
        </is>
      </c>
    </row>
    <row r="233">
      <c r="A233" t="inlineStr">
        <is>
          <t>EMP-0232</t>
        </is>
      </c>
      <c r="B233" t="inlineStr">
        <is>
          <t>Carlos</t>
        </is>
      </c>
      <c r="C233" t="inlineStr">
        <is>
          <t>Álvarez</t>
        </is>
      </c>
      <c r="D233" t="inlineStr">
        <is>
          <t>Atención al cliente</t>
        </is>
      </c>
      <c r="E233" t="inlineStr">
        <is>
          <t>Account support</t>
        </is>
      </c>
      <c r="F233" t="inlineStr">
        <is>
          <t>Anuncios RRHH</t>
        </is>
      </c>
      <c r="G233" t="inlineStr">
        <is>
          <t>Indefinido</t>
        </is>
      </c>
      <c r="H233" s="2" t="n">
        <v>43221</v>
      </c>
      <c r="I233" s="2" t="n"/>
      <c r="J233" t="inlineStr">
        <is>
          <t>Activo</t>
        </is>
      </c>
      <c r="K233" s="3" t="n">
        <v>1</v>
      </c>
      <c r="L233" s="4" t="n">
        <v>23919</v>
      </c>
      <c r="M233" s="3" t="n">
        <v>0.12</v>
      </c>
      <c r="N233" s="3" t="n">
        <v>0.339</v>
      </c>
      <c r="O233" s="4">
        <f>ROUND(L233*K233*(1+M233+N233),2)</f>
        <v/>
      </c>
      <c r="P233" t="inlineStr">
        <is>
          <t>Patricia Romero</t>
        </is>
      </c>
      <c r="Q233" t="inlineStr">
        <is>
          <t>España</t>
        </is>
      </c>
      <c r="R233" t="inlineStr">
        <is>
          <t>Barcelona</t>
        </is>
      </c>
    </row>
    <row r="234">
      <c r="A234" t="inlineStr">
        <is>
          <t>EMP-0233</t>
        </is>
      </c>
      <c r="B234" t="inlineStr">
        <is>
          <t>Rubén</t>
        </is>
      </c>
      <c r="C234" t="inlineStr">
        <is>
          <t>Ramos</t>
        </is>
      </c>
      <c r="D234" t="inlineStr">
        <is>
          <t>Tecnología</t>
        </is>
      </c>
      <c r="E234" t="inlineStr">
        <is>
          <t>Desarrollador web</t>
        </is>
      </c>
      <c r="F234" t="inlineStr">
        <is>
          <t>Publicación de noticias</t>
        </is>
      </c>
      <c r="G234" t="inlineStr">
        <is>
          <t>Temporal</t>
        </is>
      </c>
      <c r="H234" s="2" t="n">
        <v>43330</v>
      </c>
      <c r="I234" s="2" t="n"/>
      <c r="J234" t="inlineStr">
        <is>
          <t>Activo</t>
        </is>
      </c>
      <c r="K234" s="3" t="n">
        <v>0.75</v>
      </c>
      <c r="L234" s="4" t="n">
        <v>51798</v>
      </c>
      <c r="M234" s="3" t="n">
        <v>0.12</v>
      </c>
      <c r="N234" s="3" t="n">
        <v>0.303</v>
      </c>
      <c r="O234" s="4">
        <f>ROUND(L234*K234*(1+M234+N234),2)</f>
        <v/>
      </c>
      <c r="P234" t="inlineStr">
        <is>
          <t>Luis Gómez</t>
        </is>
      </c>
      <c r="Q234" t="inlineStr">
        <is>
          <t>España</t>
        </is>
      </c>
      <c r="R234" t="inlineStr">
        <is>
          <t>Barcelona</t>
        </is>
      </c>
    </row>
    <row r="235">
      <c r="A235" t="inlineStr">
        <is>
          <t>EMP-0234</t>
        </is>
      </c>
      <c r="B235" t="inlineStr">
        <is>
          <t>Joel</t>
        </is>
      </c>
      <c r="C235" t="inlineStr">
        <is>
          <t>García</t>
        </is>
      </c>
      <c r="D235" t="inlineStr">
        <is>
          <t>Tecnología</t>
        </is>
      </c>
      <c r="E235" t="inlineStr">
        <is>
          <t>Administrador intranet</t>
        </is>
      </c>
      <c r="F235" t="inlineStr">
        <is>
          <t>Anuncios RRHH</t>
        </is>
      </c>
      <c r="G235" t="inlineStr">
        <is>
          <t>Indefinido</t>
        </is>
      </c>
      <c r="H235" s="2" t="n">
        <v>44541</v>
      </c>
      <c r="I235" s="2" t="n"/>
      <c r="J235" t="inlineStr">
        <is>
          <t>Activo</t>
        </is>
      </c>
      <c r="K235" s="3" t="n">
        <v>1</v>
      </c>
      <c r="L235" s="4" t="n">
        <v>35268</v>
      </c>
      <c r="M235" s="3" t="n">
        <v>0</v>
      </c>
      <c r="N235" s="3" t="n">
        <v>0.33</v>
      </c>
      <c r="O235" s="4">
        <f>ROUND(L235*K235*(1+M235+N235),2)</f>
        <v/>
      </c>
      <c r="P235" t="inlineStr">
        <is>
          <t>Silvia Navarro</t>
        </is>
      </c>
      <c r="Q235" t="inlineStr">
        <is>
          <t>México</t>
        </is>
      </c>
      <c r="R235" t="inlineStr">
        <is>
          <t>Guadalajara</t>
        </is>
      </c>
    </row>
    <row r="236">
      <c r="A236" t="inlineStr">
        <is>
          <t>EMP-0235</t>
        </is>
      </c>
      <c r="B236" t="inlineStr">
        <is>
          <t>Javier</t>
        </is>
      </c>
      <c r="C236" t="inlineStr">
        <is>
          <t>Ruiz</t>
        </is>
      </c>
      <c r="D236" t="inlineStr">
        <is>
          <t>Comercial</t>
        </is>
      </c>
      <c r="E236" t="inlineStr">
        <is>
          <t>Ejecutivo de cuentas</t>
        </is>
      </c>
      <c r="F236" t="inlineStr">
        <is>
          <t>Publicación de noticias</t>
        </is>
      </c>
      <c r="G236" t="inlineStr">
        <is>
          <t>Indefinido</t>
        </is>
      </c>
      <c r="H236" s="2" t="n">
        <v>43182</v>
      </c>
      <c r="I236" s="2" t="n"/>
      <c r="J236" t="inlineStr">
        <is>
          <t>Activo</t>
        </is>
      </c>
      <c r="K236" s="3" t="n">
        <v>0.5</v>
      </c>
      <c r="L236" s="4" t="n">
        <v>44389</v>
      </c>
      <c r="M236" s="3" t="n">
        <v>0.08</v>
      </c>
      <c r="N236" s="3" t="n">
        <v>0.292</v>
      </c>
      <c r="O236" s="4">
        <f>ROUND(L236*K236*(1+M236+N236),2)</f>
        <v/>
      </c>
      <c r="P236" t="inlineStr">
        <is>
          <t>Patricia Romero</t>
        </is>
      </c>
      <c r="Q236" t="inlineStr">
        <is>
          <t>España</t>
        </is>
      </c>
      <c r="R236" t="inlineStr">
        <is>
          <t>Madrid</t>
        </is>
      </c>
    </row>
    <row r="237">
      <c r="A237" t="inlineStr">
        <is>
          <t>EMP-0236</t>
        </is>
      </c>
      <c r="B237" t="inlineStr">
        <is>
          <t>Joel</t>
        </is>
      </c>
      <c r="C237" t="inlineStr">
        <is>
          <t>Castro</t>
        </is>
      </c>
      <c r="D237" t="inlineStr">
        <is>
          <t>Traducción</t>
        </is>
      </c>
      <c r="E237" t="inlineStr">
        <is>
          <t>Localization manager</t>
        </is>
      </c>
      <c r="F237" t="inlineStr">
        <is>
          <t>Anuncios RRHH</t>
        </is>
      </c>
      <c r="G237" t="inlineStr">
        <is>
          <t>Freelance</t>
        </is>
      </c>
      <c r="H237" s="2" t="n">
        <v>43555</v>
      </c>
      <c r="I237" s="2" t="n"/>
      <c r="J237" t="inlineStr">
        <is>
          <t>Activo</t>
        </is>
      </c>
      <c r="K237" s="3" t="n">
        <v>1</v>
      </c>
      <c r="L237" s="4" t="n">
        <v>24376</v>
      </c>
      <c r="M237" s="3" t="n">
        <v>0.03</v>
      </c>
      <c r="N237" s="3" t="n">
        <v>0.322</v>
      </c>
      <c r="O237" s="4">
        <f>ROUND(L237*K237*(1+M237+N237),2)</f>
        <v/>
      </c>
      <c r="P237" t="inlineStr">
        <is>
          <t>Fernando Ruiz</t>
        </is>
      </c>
      <c r="Q237" t="inlineStr">
        <is>
          <t>España</t>
        </is>
      </c>
      <c r="R237" t="inlineStr">
        <is>
          <t>Barcelona</t>
        </is>
      </c>
    </row>
    <row r="238">
      <c r="A238" t="inlineStr">
        <is>
          <t>EMP-0237</t>
        </is>
      </c>
      <c r="B238" t="inlineStr">
        <is>
          <t>Elena</t>
        </is>
      </c>
      <c r="C238" t="inlineStr">
        <is>
          <t>Suárez</t>
        </is>
      </c>
      <c r="D238" t="inlineStr">
        <is>
          <t>Redacción</t>
        </is>
      </c>
      <c r="E238" t="inlineStr">
        <is>
          <t>Content manager</t>
        </is>
      </c>
      <c r="F238" t="inlineStr">
        <is>
          <t>Anuncios RRHH</t>
        </is>
      </c>
      <c r="G238" t="inlineStr">
        <is>
          <t>Freelance</t>
        </is>
      </c>
      <c r="H238" s="2" t="n">
        <v>45096</v>
      </c>
      <c r="I238" s="2" t="n"/>
      <c r="J238" t="inlineStr">
        <is>
          <t>Activo</t>
        </is>
      </c>
      <c r="K238" s="3" t="n">
        <v>0.75</v>
      </c>
      <c r="L238" s="4" t="n">
        <v>45172</v>
      </c>
      <c r="M238" s="3" t="n">
        <v>0.08</v>
      </c>
      <c r="N238" s="3" t="n">
        <v>0.322</v>
      </c>
      <c r="O238" s="4">
        <f>ROUND(L238*K238*(1+M238+N238),2)</f>
        <v/>
      </c>
      <c r="P238" t="inlineStr">
        <is>
          <t>Patricia Romero</t>
        </is>
      </c>
      <c r="Q238" t="inlineStr">
        <is>
          <t>España</t>
        </is>
      </c>
      <c r="R238" t="inlineStr">
        <is>
          <t>Barcelona</t>
        </is>
      </c>
    </row>
    <row r="239">
      <c r="A239" t="inlineStr">
        <is>
          <t>EMP-0238</t>
        </is>
      </c>
      <c r="B239" t="inlineStr">
        <is>
          <t>Carmen</t>
        </is>
      </c>
      <c r="C239" t="inlineStr">
        <is>
          <t>Gómez</t>
        </is>
      </c>
      <c r="D239" t="inlineStr">
        <is>
          <t>Tecnología</t>
        </is>
      </c>
      <c r="E239" t="inlineStr">
        <is>
          <t>QA web</t>
        </is>
      </c>
      <c r="F239" t="inlineStr">
        <is>
          <t>Publicación de noticias</t>
        </is>
      </c>
      <c r="G239" t="inlineStr">
        <is>
          <t>Temporal</t>
        </is>
      </c>
      <c r="H239" s="2" t="n">
        <v>45447</v>
      </c>
      <c r="I239" s="2" t="n"/>
      <c r="J239" t="inlineStr">
        <is>
          <t>Activo</t>
        </is>
      </c>
      <c r="K239" s="3" t="n">
        <v>1</v>
      </c>
      <c r="L239" s="4" t="n">
        <v>28552</v>
      </c>
      <c r="M239" s="3" t="n">
        <v>0.08</v>
      </c>
      <c r="N239" s="3" t="n">
        <v>0.299</v>
      </c>
      <c r="O239" s="4">
        <f>ROUND(L239*K239*(1+M239+N239),2)</f>
        <v/>
      </c>
      <c r="P239" t="inlineStr">
        <is>
          <t>Luis Gómez</t>
        </is>
      </c>
      <c r="Q239" t="inlineStr">
        <is>
          <t>España</t>
        </is>
      </c>
      <c r="R239" t="inlineStr">
        <is>
          <t>Valencia</t>
        </is>
      </c>
    </row>
    <row r="240">
      <c r="A240" t="inlineStr">
        <is>
          <t>EMP-0239</t>
        </is>
      </c>
      <c r="B240" t="inlineStr">
        <is>
          <t>Sergio</t>
        </is>
      </c>
      <c r="C240" t="inlineStr">
        <is>
          <t>Romero</t>
        </is>
      </c>
      <c r="D240" t="inlineStr">
        <is>
          <t>Redacción</t>
        </is>
      </c>
      <c r="E240" t="inlineStr">
        <is>
          <t>Content manager</t>
        </is>
      </c>
      <c r="F240" t="inlineStr">
        <is>
          <t>Anuncios internet</t>
        </is>
      </c>
      <c r="G240" t="inlineStr">
        <is>
          <t>Freelance</t>
        </is>
      </c>
      <c r="H240" s="2" t="n">
        <v>43788</v>
      </c>
      <c r="I240" s="2" t="n"/>
      <c r="J240" t="inlineStr">
        <is>
          <t>Activo</t>
        </is>
      </c>
      <c r="K240" s="3" t="n">
        <v>0.5</v>
      </c>
      <c r="L240" s="4" t="n">
        <v>48924</v>
      </c>
      <c r="M240" s="3" t="n">
        <v>0.1</v>
      </c>
      <c r="N240" s="3" t="n">
        <v>0.32</v>
      </c>
      <c r="O240" s="4">
        <f>ROUND(L240*K240*(1+M240+N240),2)</f>
        <v/>
      </c>
      <c r="P240" t="inlineStr">
        <is>
          <t>Patricia Romero</t>
        </is>
      </c>
      <c r="Q240" t="inlineStr">
        <is>
          <t>España</t>
        </is>
      </c>
      <c r="R240" t="inlineStr">
        <is>
          <t>Madrid</t>
        </is>
      </c>
    </row>
    <row r="241">
      <c r="A241" t="inlineStr">
        <is>
          <t>EMP-0240</t>
        </is>
      </c>
      <c r="B241" t="inlineStr">
        <is>
          <t>Sofía</t>
        </is>
      </c>
      <c r="C241" t="inlineStr">
        <is>
          <t>Romero</t>
        </is>
      </c>
      <c r="D241" t="inlineStr">
        <is>
          <t>Finanzas</t>
        </is>
      </c>
      <c r="E241" t="inlineStr">
        <is>
          <t>Analista financiero</t>
        </is>
      </c>
      <c r="F241" t="inlineStr">
        <is>
          <t>Mantenimiento web</t>
        </is>
      </c>
      <c r="G241" t="inlineStr">
        <is>
          <t>Indefinido</t>
        </is>
      </c>
      <c r="H241" s="2" t="n">
        <v>43543</v>
      </c>
      <c r="I241" s="2" t="n"/>
      <c r="J241" t="inlineStr">
        <is>
          <t>Activo</t>
        </is>
      </c>
      <c r="K241" s="3" t="n">
        <v>0.5</v>
      </c>
      <c r="L241" s="4" t="n">
        <v>34646</v>
      </c>
      <c r="M241" s="3" t="n">
        <v>0.05</v>
      </c>
      <c r="N241" s="3" t="n">
        <v>0.324</v>
      </c>
      <c r="O241" s="4">
        <f>ROUND(L241*K241*(1+M241+N241),2)</f>
        <v/>
      </c>
      <c r="P241" t="inlineStr">
        <is>
          <t>Fernando Ruiz</t>
        </is>
      </c>
      <c r="Q241" t="inlineStr">
        <is>
          <t>España</t>
        </is>
      </c>
      <c r="R241" t="inlineStr">
        <is>
          <t>Barcelona</t>
        </is>
      </c>
    </row>
    <row r="242">
      <c r="A242" t="inlineStr">
        <is>
          <t>EMP-0241</t>
        </is>
      </c>
      <c r="B242" t="inlineStr">
        <is>
          <t>Paula</t>
        </is>
      </c>
      <c r="C242" t="inlineStr">
        <is>
          <t>Morales</t>
        </is>
      </c>
      <c r="D242" t="inlineStr">
        <is>
          <t>Finanzas</t>
        </is>
      </c>
      <c r="E242" t="inlineStr">
        <is>
          <t>Analista financiero</t>
        </is>
      </c>
      <c r="F242" t="inlineStr">
        <is>
          <t>Anuncios prensa</t>
        </is>
      </c>
      <c r="G242" t="inlineStr">
        <is>
          <t>Indefinido</t>
        </is>
      </c>
      <c r="H242" s="2" t="n">
        <v>45468</v>
      </c>
      <c r="I242" s="2" t="n"/>
      <c r="J242" t="inlineStr">
        <is>
          <t>Activo</t>
        </is>
      </c>
      <c r="K242" s="3" t="n">
        <v>0.75</v>
      </c>
      <c r="L242" s="4" t="n">
        <v>27329</v>
      </c>
      <c r="M242" s="3" t="n">
        <v>0.05</v>
      </c>
      <c r="N242" s="3" t="n">
        <v>0.284</v>
      </c>
      <c r="O242" s="4">
        <f>ROUND(L242*K242*(1+M242+N242),2)</f>
        <v/>
      </c>
      <c r="P242" t="inlineStr">
        <is>
          <t>Patricia Romero</t>
        </is>
      </c>
      <c r="Q242" t="inlineStr">
        <is>
          <t>España</t>
        </is>
      </c>
      <c r="R242" t="inlineStr">
        <is>
          <t>Sevilla</t>
        </is>
      </c>
    </row>
    <row r="243">
      <c r="A243" t="inlineStr">
        <is>
          <t>EMP-0242</t>
        </is>
      </c>
      <c r="B243" t="inlineStr">
        <is>
          <t>Sofía</t>
        </is>
      </c>
      <c r="C243" t="inlineStr">
        <is>
          <t>Álvarez</t>
        </is>
      </c>
      <c r="D243" t="inlineStr">
        <is>
          <t>Operaciones</t>
        </is>
      </c>
      <c r="E243" t="inlineStr">
        <is>
          <t>Project manager</t>
        </is>
      </c>
      <c r="F243" t="inlineStr">
        <is>
          <t>Anuncios RRHH</t>
        </is>
      </c>
      <c r="G243" t="inlineStr">
        <is>
          <t>Indefinido</t>
        </is>
      </c>
      <c r="H243" s="2" t="n">
        <v>44638</v>
      </c>
      <c r="I243" s="2" t="n"/>
      <c r="J243" t="inlineStr">
        <is>
          <t>Activo</t>
        </is>
      </c>
      <c r="K243" s="3" t="n">
        <v>0.5</v>
      </c>
      <c r="L243" s="4" t="n">
        <v>39925</v>
      </c>
      <c r="M243" s="3" t="n">
        <v>0</v>
      </c>
      <c r="N243" s="3" t="n">
        <v>0.3</v>
      </c>
      <c r="O243" s="4">
        <f>ROUND(L243*K243*(1+M243+N243),2)</f>
        <v/>
      </c>
      <c r="P243" t="inlineStr">
        <is>
          <t>Fernando Ruiz</t>
        </is>
      </c>
      <c r="Q243" t="inlineStr">
        <is>
          <t>España</t>
        </is>
      </c>
      <c r="R243" t="inlineStr">
        <is>
          <t>Madrid</t>
        </is>
      </c>
    </row>
    <row r="244">
      <c r="A244" t="inlineStr">
        <is>
          <t>EMP-0243</t>
        </is>
      </c>
      <c r="B244" t="inlineStr">
        <is>
          <t>Cristina</t>
        </is>
      </c>
      <c r="C244" t="inlineStr">
        <is>
          <t>Cano</t>
        </is>
      </c>
      <c r="D244" t="inlineStr">
        <is>
          <t>Operaciones</t>
        </is>
      </c>
      <c r="E244" t="inlineStr">
        <is>
          <t>Project manager</t>
        </is>
      </c>
      <c r="F244" t="inlineStr">
        <is>
          <t>Anuncios prensa</t>
        </is>
      </c>
      <c r="G244" t="inlineStr">
        <is>
          <t>Indefinido</t>
        </is>
      </c>
      <c r="H244" s="2" t="n">
        <v>43320</v>
      </c>
      <c r="I244" s="2" t="n"/>
      <c r="J244" t="inlineStr">
        <is>
          <t>Activo</t>
        </is>
      </c>
      <c r="K244" s="3" t="n">
        <v>0.75</v>
      </c>
      <c r="L244" s="4" t="n">
        <v>28225</v>
      </c>
      <c r="M244" s="3" t="n">
        <v>0.05</v>
      </c>
      <c r="N244" s="3" t="n">
        <v>0.322</v>
      </c>
      <c r="O244" s="4">
        <f>ROUND(L244*K244*(1+M244+N244),2)</f>
        <v/>
      </c>
      <c r="P244" t="inlineStr">
        <is>
          <t>Jorge Molina</t>
        </is>
      </c>
      <c r="Q244" t="inlineStr">
        <is>
          <t>Chile</t>
        </is>
      </c>
      <c r="R244" t="inlineStr">
        <is>
          <t>Santiago</t>
        </is>
      </c>
    </row>
    <row r="245">
      <c r="A245" t="inlineStr">
        <is>
          <t>EMP-0244</t>
        </is>
      </c>
      <c r="B245" t="inlineStr">
        <is>
          <t>Sergio</t>
        </is>
      </c>
      <c r="C245" t="inlineStr">
        <is>
          <t>Sánchez</t>
        </is>
      </c>
      <c r="D245" t="inlineStr">
        <is>
          <t>Atención al cliente</t>
        </is>
      </c>
      <c r="E245" t="inlineStr">
        <is>
          <t>Soporte cliente</t>
        </is>
      </c>
      <c r="F245" t="inlineStr">
        <is>
          <t>Generación de noticias</t>
        </is>
      </c>
      <c r="G245" t="inlineStr">
        <is>
          <t>Indefinido</t>
        </is>
      </c>
      <c r="H245" s="2" t="n">
        <v>45442</v>
      </c>
      <c r="I245" s="2" t="n"/>
      <c r="J245" t="inlineStr">
        <is>
          <t>Activo</t>
        </is>
      </c>
      <c r="K245" s="3" t="n">
        <v>1</v>
      </c>
      <c r="L245" s="4" t="n">
        <v>27032</v>
      </c>
      <c r="M245" s="3" t="n">
        <v>0</v>
      </c>
      <c r="N245" s="3" t="n">
        <v>0.302</v>
      </c>
      <c r="O245" s="4">
        <f>ROUND(L245*K245*(1+M245+N245),2)</f>
        <v/>
      </c>
      <c r="P245" t="inlineStr">
        <is>
          <t>Ana Torres</t>
        </is>
      </c>
      <c r="Q245" t="inlineStr">
        <is>
          <t>Portugal</t>
        </is>
      </c>
      <c r="R245" t="inlineStr">
        <is>
          <t>Oporto</t>
        </is>
      </c>
    </row>
    <row r="246">
      <c r="A246" t="inlineStr">
        <is>
          <t>EMP-0245</t>
        </is>
      </c>
      <c r="B246" t="inlineStr">
        <is>
          <t>Miguel</t>
        </is>
      </c>
      <c r="C246" t="inlineStr">
        <is>
          <t>Gómez</t>
        </is>
      </c>
      <c r="D246" t="inlineStr">
        <is>
          <t>Comercial</t>
        </is>
      </c>
      <c r="E246" t="inlineStr">
        <is>
          <t>Business developer</t>
        </is>
      </c>
      <c r="F246" t="inlineStr">
        <is>
          <t>Anuncios internet</t>
        </is>
      </c>
      <c r="G246" t="inlineStr">
        <is>
          <t>Indefinido</t>
        </is>
      </c>
      <c r="H246" s="2" t="n">
        <v>43436</v>
      </c>
      <c r="I246" s="2" t="n"/>
      <c r="J246" t="inlineStr">
        <is>
          <t>Activo</t>
        </is>
      </c>
      <c r="K246" s="3" t="n">
        <v>0.5</v>
      </c>
      <c r="L246" s="4" t="n">
        <v>42533</v>
      </c>
      <c r="M246" s="3" t="n">
        <v>0.05</v>
      </c>
      <c r="N246" s="3" t="n">
        <v>0.308</v>
      </c>
      <c r="O246" s="4">
        <f>ROUND(L246*K246*(1+M246+N246),2)</f>
        <v/>
      </c>
      <c r="P246" t="inlineStr">
        <is>
          <t>Patricia Romero</t>
        </is>
      </c>
      <c r="Q246" t="inlineStr">
        <is>
          <t>España</t>
        </is>
      </c>
      <c r="R246" t="inlineStr">
        <is>
          <t>Madrid</t>
        </is>
      </c>
    </row>
    <row r="247">
      <c r="A247" t="inlineStr">
        <is>
          <t>EMP-0246</t>
        </is>
      </c>
      <c r="B247" t="inlineStr">
        <is>
          <t>Andrea</t>
        </is>
      </c>
      <c r="C247" t="inlineStr">
        <is>
          <t>Romero</t>
        </is>
      </c>
      <c r="D247" t="inlineStr">
        <is>
          <t>Redacción</t>
        </is>
      </c>
      <c r="E247" t="inlineStr">
        <is>
          <t>Content manager</t>
        </is>
      </c>
      <c r="F247" t="inlineStr">
        <is>
          <t>Anuncios TV</t>
        </is>
      </c>
      <c r="G247" t="inlineStr">
        <is>
          <t>Indefinido</t>
        </is>
      </c>
      <c r="H247" s="2" t="n">
        <v>43283</v>
      </c>
      <c r="I247" s="2" t="n"/>
      <c r="J247" t="inlineStr">
        <is>
          <t>Activo</t>
        </is>
      </c>
      <c r="K247" s="3" t="n">
        <v>1</v>
      </c>
      <c r="L247" s="4" t="n">
        <v>30631</v>
      </c>
      <c r="M247" s="3" t="n">
        <v>0</v>
      </c>
      <c r="N247" s="3" t="n">
        <v>0.33</v>
      </c>
      <c r="O247" s="4">
        <f>ROUND(L247*K247*(1+M247+N247),2)</f>
        <v/>
      </c>
      <c r="P247" t="inlineStr">
        <is>
          <t>Ana Torres</t>
        </is>
      </c>
      <c r="Q247" t="inlineStr">
        <is>
          <t>España</t>
        </is>
      </c>
      <c r="R247" t="inlineStr">
        <is>
          <t>Valencia</t>
        </is>
      </c>
    </row>
    <row r="248">
      <c r="A248" t="inlineStr">
        <is>
          <t>EMP-0247</t>
        </is>
      </c>
      <c r="B248" t="inlineStr">
        <is>
          <t>Eva</t>
        </is>
      </c>
      <c r="C248" t="inlineStr">
        <is>
          <t>Navarro</t>
        </is>
      </c>
      <c r="D248" t="inlineStr">
        <is>
          <t>Traducción</t>
        </is>
      </c>
      <c r="E248" t="inlineStr">
        <is>
          <t>Revisor lingüístico</t>
        </is>
      </c>
      <c r="F248" t="inlineStr">
        <is>
          <t>Traducciones</t>
        </is>
      </c>
      <c r="G248" t="inlineStr">
        <is>
          <t>Freelance</t>
        </is>
      </c>
      <c r="H248" s="2" t="n">
        <v>45516</v>
      </c>
      <c r="I248" s="2" t="n"/>
      <c r="J248" t="inlineStr">
        <is>
          <t>Activo</t>
        </is>
      </c>
      <c r="K248" s="3" t="n">
        <v>0.5</v>
      </c>
      <c r="L248" s="4" t="n">
        <v>49551</v>
      </c>
      <c r="M248" s="3" t="n">
        <v>0.05</v>
      </c>
      <c r="N248" s="3" t="n">
        <v>0.329</v>
      </c>
      <c r="O248" s="4">
        <f>ROUND(L248*K248*(1+M248+N248),2)</f>
        <v/>
      </c>
      <c r="P248" t="inlineStr">
        <is>
          <t>Silvia Navarro</t>
        </is>
      </c>
      <c r="Q248" t="inlineStr">
        <is>
          <t>España</t>
        </is>
      </c>
      <c r="R248" t="inlineStr">
        <is>
          <t>Valencia</t>
        </is>
      </c>
    </row>
    <row r="249">
      <c r="A249" t="inlineStr">
        <is>
          <t>EMP-0248</t>
        </is>
      </c>
      <c r="B249" t="inlineStr">
        <is>
          <t>Raúl</t>
        </is>
      </c>
      <c r="C249" t="inlineStr">
        <is>
          <t>Cano</t>
        </is>
      </c>
      <c r="D249" t="inlineStr">
        <is>
          <t>Finanzas</t>
        </is>
      </c>
      <c r="E249" t="inlineStr">
        <is>
          <t>Técnico de facturación</t>
        </is>
      </c>
      <c r="F249" t="inlineStr">
        <is>
          <t>Mantenimiento intranets</t>
        </is>
      </c>
      <c r="G249" t="inlineStr">
        <is>
          <t>Temporal</t>
        </is>
      </c>
      <c r="H249" s="2" t="n">
        <v>43243</v>
      </c>
      <c r="I249" s="2" t="n"/>
      <c r="J249" t="inlineStr">
        <is>
          <t>Activo</t>
        </is>
      </c>
      <c r="K249" s="3" t="n">
        <v>1</v>
      </c>
      <c r="L249" s="4" t="n">
        <v>48229</v>
      </c>
      <c r="M249" s="3" t="n">
        <v>0.08</v>
      </c>
      <c r="N249" s="3" t="n">
        <v>0.321</v>
      </c>
      <c r="O249" s="4">
        <f>ROUND(L249*K249*(1+M249+N249),2)</f>
        <v/>
      </c>
      <c r="P249" t="inlineStr">
        <is>
          <t>Luis Gómez</t>
        </is>
      </c>
      <c r="Q249" t="inlineStr">
        <is>
          <t>España</t>
        </is>
      </c>
      <c r="R249" t="inlineStr">
        <is>
          <t>Madrid</t>
        </is>
      </c>
    </row>
    <row r="250">
      <c r="A250" t="inlineStr">
        <is>
          <t>EMP-0249</t>
        </is>
      </c>
      <c r="B250" t="inlineStr">
        <is>
          <t>Miguel</t>
        </is>
      </c>
      <c r="C250" t="inlineStr">
        <is>
          <t>Blanco</t>
        </is>
      </c>
      <c r="D250" t="inlineStr">
        <is>
          <t>Redacción</t>
        </is>
      </c>
      <c r="E250" t="inlineStr">
        <is>
          <t>Content manager</t>
        </is>
      </c>
      <c r="F250" t="inlineStr">
        <is>
          <t>Anuncios internet</t>
        </is>
      </c>
      <c r="G250" t="inlineStr">
        <is>
          <t>Indefinido</t>
        </is>
      </c>
      <c r="H250" s="2" t="n">
        <v>43275</v>
      </c>
      <c r="I250" s="2" t="n"/>
      <c r="J250" t="inlineStr">
        <is>
          <t>Activo</t>
        </is>
      </c>
      <c r="K250" s="3" t="n">
        <v>1</v>
      </c>
      <c r="L250" s="4" t="n">
        <v>28616</v>
      </c>
      <c r="M250" s="3" t="n">
        <v>0.12</v>
      </c>
      <c r="N250" s="3" t="n">
        <v>0.318</v>
      </c>
      <c r="O250" s="4">
        <f>ROUND(L250*K250*(1+M250+N250),2)</f>
        <v/>
      </c>
      <c r="P250" t="inlineStr">
        <is>
          <t>Patricia Romero</t>
        </is>
      </c>
      <c r="Q250" t="inlineStr">
        <is>
          <t>España</t>
        </is>
      </c>
      <c r="R250" t="inlineStr">
        <is>
          <t>Barcelona</t>
        </is>
      </c>
    </row>
    <row r="251">
      <c r="A251" t="inlineStr">
        <is>
          <t>EMP-0250</t>
        </is>
      </c>
      <c r="B251" t="inlineStr">
        <is>
          <t>Gonzalo</t>
        </is>
      </c>
      <c r="C251" t="inlineStr">
        <is>
          <t>Álvarez</t>
        </is>
      </c>
      <c r="D251" t="inlineStr">
        <is>
          <t>Marketing</t>
        </is>
      </c>
      <c r="E251" t="inlineStr">
        <is>
          <t>Media planner</t>
        </is>
      </c>
      <c r="F251" t="inlineStr">
        <is>
          <t>Traducciones</t>
        </is>
      </c>
      <c r="G251" t="inlineStr">
        <is>
          <t>Temporal</t>
        </is>
      </c>
      <c r="H251" s="2" t="n">
        <v>45229</v>
      </c>
      <c r="I251" s="2" t="n"/>
      <c r="J251" t="inlineStr">
        <is>
          <t>Activo</t>
        </is>
      </c>
      <c r="K251" s="3" t="n">
        <v>0.5</v>
      </c>
      <c r="L251" s="4" t="n">
        <v>57510</v>
      </c>
      <c r="M251" s="3" t="n">
        <v>0.08</v>
      </c>
      <c r="N251" s="3" t="n">
        <v>0.315</v>
      </c>
      <c r="O251" s="4">
        <f>ROUND(L251*K251*(1+M251+N251),2)</f>
        <v/>
      </c>
      <c r="P251" t="inlineStr">
        <is>
          <t>Ana Torres</t>
        </is>
      </c>
      <c r="Q251" t="inlineStr">
        <is>
          <t>España</t>
        </is>
      </c>
      <c r="R251" t="inlineStr">
        <is>
          <t>Sevilla</t>
        </is>
      </c>
    </row>
    <row r="252">
      <c r="A252" t="inlineStr">
        <is>
          <t>EMP-0251</t>
        </is>
      </c>
      <c r="B252" t="inlineStr">
        <is>
          <t>Paula</t>
        </is>
      </c>
      <c r="C252" t="inlineStr">
        <is>
          <t>Gil</t>
        </is>
      </c>
      <c r="D252" t="inlineStr">
        <is>
          <t>RRHH</t>
        </is>
      </c>
      <c r="E252" t="inlineStr">
        <is>
          <t>Employer branding specialist</t>
        </is>
      </c>
      <c r="F252" t="inlineStr">
        <is>
          <t>Publicación de noticias</t>
        </is>
      </c>
      <c r="G252" t="inlineStr">
        <is>
          <t>Temporal</t>
        </is>
      </c>
      <c r="H252" s="2" t="n">
        <v>44272</v>
      </c>
      <c r="I252" s="2" t="n"/>
      <c r="J252" t="inlineStr">
        <is>
          <t>Activo</t>
        </is>
      </c>
      <c r="K252" s="3" t="n">
        <v>1</v>
      </c>
      <c r="L252" s="4" t="n">
        <v>50766</v>
      </c>
      <c r="M252" s="3" t="n">
        <v>0.05</v>
      </c>
      <c r="N252" s="3" t="n">
        <v>0.296</v>
      </c>
      <c r="O252" s="4">
        <f>ROUND(L252*K252*(1+M252+N252),2)</f>
        <v/>
      </c>
      <c r="P252" t="inlineStr">
        <is>
          <t>Fernando Ruiz</t>
        </is>
      </c>
      <c r="Q252" t="inlineStr">
        <is>
          <t>España</t>
        </is>
      </c>
      <c r="R252" t="inlineStr">
        <is>
          <t>Madrid</t>
        </is>
      </c>
    </row>
    <row r="253">
      <c r="A253" t="inlineStr">
        <is>
          <t>EMP-0252</t>
        </is>
      </c>
      <c r="B253" t="inlineStr">
        <is>
          <t>Diego</t>
        </is>
      </c>
      <c r="C253" t="inlineStr">
        <is>
          <t>Serrano</t>
        </is>
      </c>
      <c r="D253" t="inlineStr">
        <is>
          <t>Finanzas</t>
        </is>
      </c>
      <c r="E253" t="inlineStr">
        <is>
          <t>Controller</t>
        </is>
      </c>
      <c r="F253" t="inlineStr">
        <is>
          <t>Mantenimiento web</t>
        </is>
      </c>
      <c r="G253" t="inlineStr">
        <is>
          <t>Indefinido</t>
        </is>
      </c>
      <c r="H253" s="2" t="n">
        <v>44746</v>
      </c>
      <c r="I253" s="2" t="n">
        <v>45604</v>
      </c>
      <c r="J253" t="inlineStr">
        <is>
          <t>Baja</t>
        </is>
      </c>
      <c r="K253" s="3" t="n">
        <v>0.75</v>
      </c>
      <c r="L253" s="4" t="n">
        <v>23615</v>
      </c>
      <c r="M253" s="3" t="n">
        <v>0.1</v>
      </c>
      <c r="N253" s="3" t="n">
        <v>0.309</v>
      </c>
      <c r="O253" s="4">
        <f>ROUND(L253*K253*(1+M253+N253),2)</f>
        <v/>
      </c>
      <c r="P253" t="inlineStr">
        <is>
          <t>Patricia Romero</t>
        </is>
      </c>
      <c r="Q253" t="inlineStr">
        <is>
          <t>España</t>
        </is>
      </c>
      <c r="R253" t="inlineStr">
        <is>
          <t>Sevilla</t>
        </is>
      </c>
    </row>
    <row r="254">
      <c r="A254" t="inlineStr">
        <is>
          <t>EMP-0253</t>
        </is>
      </c>
      <c r="B254" t="inlineStr">
        <is>
          <t>Hugo</t>
        </is>
      </c>
      <c r="C254" t="inlineStr">
        <is>
          <t>Díaz</t>
        </is>
      </c>
      <c r="D254" t="inlineStr">
        <is>
          <t>Operaciones</t>
        </is>
      </c>
      <c r="E254" t="inlineStr">
        <is>
          <t>Especialista de cuentas</t>
        </is>
      </c>
      <c r="F254" t="inlineStr">
        <is>
          <t>Anuncios RRHH</t>
        </is>
      </c>
      <c r="G254" t="inlineStr">
        <is>
          <t>Temporal</t>
        </is>
      </c>
      <c r="H254" s="2" t="n">
        <v>43503</v>
      </c>
      <c r="I254" s="2" t="n"/>
      <c r="J254" t="inlineStr">
        <is>
          <t>Activo</t>
        </is>
      </c>
      <c r="K254" s="3" t="n">
        <v>0.75</v>
      </c>
      <c r="L254" s="4" t="n">
        <v>26403</v>
      </c>
      <c r="M254" s="3" t="n">
        <v>0.03</v>
      </c>
      <c r="N254" s="3" t="n">
        <v>0.338</v>
      </c>
      <c r="O254" s="4">
        <f>ROUND(L254*K254*(1+M254+N254),2)</f>
        <v/>
      </c>
      <c r="P254" t="inlineStr">
        <is>
          <t>Patricia Romero</t>
        </is>
      </c>
      <c r="Q254" t="inlineStr">
        <is>
          <t>México</t>
        </is>
      </c>
      <c r="R254" t="inlineStr">
        <is>
          <t>Guadalajara</t>
        </is>
      </c>
    </row>
    <row r="255">
      <c r="A255" t="inlineStr">
        <is>
          <t>EMP-0254</t>
        </is>
      </c>
      <c r="B255" t="inlineStr">
        <is>
          <t>Laura</t>
        </is>
      </c>
      <c r="C255" t="inlineStr">
        <is>
          <t>Torres</t>
        </is>
      </c>
      <c r="D255" t="inlineStr">
        <is>
          <t>Comercial</t>
        </is>
      </c>
      <c r="E255" t="inlineStr">
        <is>
          <t>Ejecutivo de cuentas</t>
        </is>
      </c>
      <c r="F255" t="inlineStr">
        <is>
          <t>Anuncios prensa</t>
        </is>
      </c>
      <c r="G255" t="inlineStr">
        <is>
          <t>Indefinido</t>
        </is>
      </c>
      <c r="H255" s="2" t="n">
        <v>44768</v>
      </c>
      <c r="I255" s="2" t="n"/>
      <c r="J255" t="inlineStr">
        <is>
          <t>Activo</t>
        </is>
      </c>
      <c r="K255" s="3" t="n">
        <v>1</v>
      </c>
      <c r="L255" s="4" t="n">
        <v>57479</v>
      </c>
      <c r="M255" s="3" t="n">
        <v>0.12</v>
      </c>
      <c r="N255" s="3" t="n">
        <v>0.283</v>
      </c>
      <c r="O255" s="4">
        <f>ROUND(L255*K255*(1+M255+N255),2)</f>
        <v/>
      </c>
      <c r="P255" t="inlineStr">
        <is>
          <t>Ana Torres</t>
        </is>
      </c>
      <c r="Q255" t="inlineStr">
        <is>
          <t>Portugal</t>
        </is>
      </c>
      <c r="R255" t="inlineStr">
        <is>
          <t>Lisboa</t>
        </is>
      </c>
    </row>
    <row r="256">
      <c r="A256" t="inlineStr">
        <is>
          <t>EMP-0255</t>
        </is>
      </c>
      <c r="B256" t="inlineStr">
        <is>
          <t>Pablo</t>
        </is>
      </c>
      <c r="C256" t="inlineStr">
        <is>
          <t>Fernández</t>
        </is>
      </c>
      <c r="D256" t="inlineStr">
        <is>
          <t>Comercial</t>
        </is>
      </c>
      <c r="E256" t="inlineStr">
        <is>
          <t>Business developer</t>
        </is>
      </c>
      <c r="F256" t="inlineStr">
        <is>
          <t>Anuncios TV</t>
        </is>
      </c>
      <c r="G256" t="inlineStr">
        <is>
          <t>Temporal</t>
        </is>
      </c>
      <c r="H256" s="2" t="n">
        <v>43923</v>
      </c>
      <c r="I256" s="2" t="n"/>
      <c r="J256" t="inlineStr">
        <is>
          <t>Activo</t>
        </is>
      </c>
      <c r="K256" s="3" t="n">
        <v>0.75</v>
      </c>
      <c r="L256" s="4" t="n">
        <v>30822</v>
      </c>
      <c r="M256" s="3" t="n">
        <v>0</v>
      </c>
      <c r="N256" s="3" t="n">
        <v>0.335</v>
      </c>
      <c r="O256" s="4">
        <f>ROUND(L256*K256*(1+M256+N256),2)</f>
        <v/>
      </c>
      <c r="P256" t="inlineStr">
        <is>
          <t>Luis Gómez</t>
        </is>
      </c>
      <c r="Q256" t="inlineStr">
        <is>
          <t>España</t>
        </is>
      </c>
      <c r="R256" t="inlineStr">
        <is>
          <t>Madrid</t>
        </is>
      </c>
    </row>
    <row r="257">
      <c r="A257" t="inlineStr">
        <is>
          <t>EMP-0256</t>
        </is>
      </c>
      <c r="B257" t="inlineStr">
        <is>
          <t>Álvaro</t>
        </is>
      </c>
      <c r="C257" t="inlineStr">
        <is>
          <t>Delgado</t>
        </is>
      </c>
      <c r="D257" t="inlineStr">
        <is>
          <t>Comercial</t>
        </is>
      </c>
      <c r="E257" t="inlineStr">
        <is>
          <t>Business developer</t>
        </is>
      </c>
      <c r="F257" t="inlineStr">
        <is>
          <t>Anuncios RRHH</t>
        </is>
      </c>
      <c r="G257" t="inlineStr">
        <is>
          <t>Indefinido</t>
        </is>
      </c>
      <c r="H257" s="2" t="n">
        <v>44626</v>
      </c>
      <c r="I257" s="2" t="n"/>
      <c r="J257" t="inlineStr">
        <is>
          <t>Activo</t>
        </is>
      </c>
      <c r="K257" s="3" t="n">
        <v>1</v>
      </c>
      <c r="L257" s="4" t="n">
        <v>39687</v>
      </c>
      <c r="M257" s="3" t="n">
        <v>0.12</v>
      </c>
      <c r="N257" s="3" t="n">
        <v>0.308</v>
      </c>
      <c r="O257" s="4">
        <f>ROUND(L257*K257*(1+M257+N257),2)</f>
        <v/>
      </c>
      <c r="P257" t="inlineStr">
        <is>
          <t>Patricia Romero</t>
        </is>
      </c>
      <c r="Q257" t="inlineStr">
        <is>
          <t>México</t>
        </is>
      </c>
      <c r="R257" t="inlineStr">
        <is>
          <t>Guadalajara</t>
        </is>
      </c>
    </row>
    <row r="258">
      <c r="A258" t="inlineStr">
        <is>
          <t>EMP-0257</t>
        </is>
      </c>
      <c r="B258" t="inlineStr">
        <is>
          <t>Daniel</t>
        </is>
      </c>
      <c r="C258" t="inlineStr">
        <is>
          <t>Moreno</t>
        </is>
      </c>
      <c r="D258" t="inlineStr">
        <is>
          <t>Marketing</t>
        </is>
      </c>
      <c r="E258" t="inlineStr">
        <is>
          <t>Campaign manager</t>
        </is>
      </c>
      <c r="F258" t="inlineStr">
        <is>
          <t>Publicación de noticias</t>
        </is>
      </c>
      <c r="G258" t="inlineStr">
        <is>
          <t>Indefinido</t>
        </is>
      </c>
      <c r="H258" s="2" t="n">
        <v>43304</v>
      </c>
      <c r="I258" s="2" t="n"/>
      <c r="J258" t="inlineStr">
        <is>
          <t>Activo</t>
        </is>
      </c>
      <c r="K258" s="3" t="n">
        <v>1</v>
      </c>
      <c r="L258" s="4" t="n">
        <v>59457</v>
      </c>
      <c r="M258" s="3" t="n">
        <v>0</v>
      </c>
      <c r="N258" s="3" t="n">
        <v>0.331</v>
      </c>
      <c r="O258" s="4">
        <f>ROUND(L258*K258*(1+M258+N258),2)</f>
        <v/>
      </c>
      <c r="P258" t="inlineStr">
        <is>
          <t>Luis Gómez</t>
        </is>
      </c>
      <c r="Q258" t="inlineStr">
        <is>
          <t>Colombia</t>
        </is>
      </c>
      <c r="R258" t="inlineStr">
        <is>
          <t>Medellín</t>
        </is>
      </c>
    </row>
    <row r="259">
      <c r="A259" t="inlineStr">
        <is>
          <t>EMP-0258</t>
        </is>
      </c>
      <c r="B259" t="inlineStr">
        <is>
          <t>Lucía</t>
        </is>
      </c>
      <c r="C259" t="inlineStr">
        <is>
          <t>Domínguez</t>
        </is>
      </c>
      <c r="D259" t="inlineStr">
        <is>
          <t>Tecnología</t>
        </is>
      </c>
      <c r="E259" t="inlineStr">
        <is>
          <t>Administrador intranet</t>
        </is>
      </c>
      <c r="F259" t="inlineStr">
        <is>
          <t>Generación de noticias</t>
        </is>
      </c>
      <c r="G259" t="inlineStr">
        <is>
          <t>Freelance</t>
        </is>
      </c>
      <c r="H259" s="2" t="n">
        <v>43810</v>
      </c>
      <c r="I259" s="2" t="n"/>
      <c r="J259" t="inlineStr">
        <is>
          <t>Activo</t>
        </is>
      </c>
      <c r="K259" s="3" t="n">
        <v>0.5</v>
      </c>
      <c r="L259" s="4" t="n">
        <v>35399</v>
      </c>
      <c r="M259" s="3" t="n">
        <v>0.08</v>
      </c>
      <c r="N259" s="3" t="n">
        <v>0.328</v>
      </c>
      <c r="O259" s="4">
        <f>ROUND(L259*K259*(1+M259+N259),2)</f>
        <v/>
      </c>
      <c r="P259" t="inlineStr">
        <is>
          <t>Jorge Molina</t>
        </is>
      </c>
      <c r="Q259" t="inlineStr">
        <is>
          <t>Portugal</t>
        </is>
      </c>
      <c r="R259" t="inlineStr">
        <is>
          <t>Lisboa</t>
        </is>
      </c>
    </row>
    <row r="260">
      <c r="A260" t="inlineStr">
        <is>
          <t>EMP-0259</t>
        </is>
      </c>
      <c r="B260" t="inlineStr">
        <is>
          <t>Óscar</t>
        </is>
      </c>
      <c r="C260" t="inlineStr">
        <is>
          <t>Díaz</t>
        </is>
      </c>
      <c r="D260" t="inlineStr">
        <is>
          <t>Comercial</t>
        </is>
      </c>
      <c r="E260" t="inlineStr">
        <is>
          <t>Business developer</t>
        </is>
      </c>
      <c r="F260" t="inlineStr">
        <is>
          <t>Anuncios prensa</t>
        </is>
      </c>
      <c r="G260" t="inlineStr">
        <is>
          <t>Indefinido</t>
        </is>
      </c>
      <c r="H260" s="2" t="n">
        <v>44338</v>
      </c>
      <c r="I260" s="2" t="n"/>
      <c r="J260" t="inlineStr">
        <is>
          <t>Activo</t>
        </is>
      </c>
      <c r="K260" s="3" t="n">
        <v>1</v>
      </c>
      <c r="L260" s="4" t="n">
        <v>43801</v>
      </c>
      <c r="M260" s="3" t="n">
        <v>0</v>
      </c>
      <c r="N260" s="3" t="n">
        <v>0.28</v>
      </c>
      <c r="O260" s="4">
        <f>ROUND(L260*K260*(1+M260+N260),2)</f>
        <v/>
      </c>
      <c r="P260" t="inlineStr">
        <is>
          <t>Patricia Romero</t>
        </is>
      </c>
      <c r="Q260" t="inlineStr">
        <is>
          <t>Colombia</t>
        </is>
      </c>
      <c r="R260" t="inlineStr">
        <is>
          <t>Medellín</t>
        </is>
      </c>
    </row>
    <row r="261">
      <c r="A261" t="inlineStr">
        <is>
          <t>EMP-0260</t>
        </is>
      </c>
      <c r="B261" t="inlineStr">
        <is>
          <t>Beatriz</t>
        </is>
      </c>
      <c r="C261" t="inlineStr">
        <is>
          <t>López</t>
        </is>
      </c>
      <c r="D261" t="inlineStr">
        <is>
          <t>Atención al cliente</t>
        </is>
      </c>
      <c r="E261" t="inlineStr">
        <is>
          <t>Account support</t>
        </is>
      </c>
      <c r="F261" t="inlineStr">
        <is>
          <t>Generación de noticias</t>
        </is>
      </c>
      <c r="G261" t="inlineStr">
        <is>
          <t>Indefinido</t>
        </is>
      </c>
      <c r="H261" s="2" t="n">
        <v>44233</v>
      </c>
      <c r="I261" s="2" t="n"/>
      <c r="J261" t="inlineStr">
        <is>
          <t>Activo</t>
        </is>
      </c>
      <c r="K261" s="3" t="n">
        <v>1</v>
      </c>
      <c r="L261" s="4" t="n">
        <v>30557</v>
      </c>
      <c r="M261" s="3" t="n">
        <v>0.1</v>
      </c>
      <c r="N261" s="3" t="n">
        <v>0.323</v>
      </c>
      <c r="O261" s="4">
        <f>ROUND(L261*K261*(1+M261+N261),2)</f>
        <v/>
      </c>
      <c r="P261" t="inlineStr">
        <is>
          <t>Patricia Romero</t>
        </is>
      </c>
      <c r="Q261" t="inlineStr">
        <is>
          <t>España</t>
        </is>
      </c>
      <c r="R261" t="inlineStr">
        <is>
          <t>Madrid</t>
        </is>
      </c>
    </row>
    <row r="262">
      <c r="A262" t="inlineStr">
        <is>
          <t>EMP-0261</t>
        </is>
      </c>
      <c r="B262" t="inlineStr">
        <is>
          <t>Javier</t>
        </is>
      </c>
      <c r="C262" t="inlineStr">
        <is>
          <t>Blanco</t>
        </is>
      </c>
      <c r="D262" t="inlineStr">
        <is>
          <t>Tecnología</t>
        </is>
      </c>
      <c r="E262" t="inlineStr">
        <is>
          <t>Administrador intranet</t>
        </is>
      </c>
      <c r="F262" t="inlineStr">
        <is>
          <t>Publicación de noticias</t>
        </is>
      </c>
      <c r="G262" t="inlineStr">
        <is>
          <t>Temporal</t>
        </is>
      </c>
      <c r="H262" s="2" t="n">
        <v>45558</v>
      </c>
      <c r="I262" s="2" t="n"/>
      <c r="J262" t="inlineStr">
        <is>
          <t>Activo</t>
        </is>
      </c>
      <c r="K262" s="3" t="n">
        <v>1</v>
      </c>
      <c r="L262" s="4" t="n">
        <v>49453</v>
      </c>
      <c r="M262" s="3" t="n">
        <v>0.1</v>
      </c>
      <c r="N262" s="3" t="n">
        <v>0.282</v>
      </c>
      <c r="O262" s="4">
        <f>ROUND(L262*K262*(1+M262+N262),2)</f>
        <v/>
      </c>
      <c r="P262" t="inlineStr">
        <is>
          <t>Patricia Romero</t>
        </is>
      </c>
      <c r="Q262" t="inlineStr">
        <is>
          <t>España</t>
        </is>
      </c>
      <c r="R262" t="inlineStr">
        <is>
          <t>Barcelona</t>
        </is>
      </c>
    </row>
    <row r="263">
      <c r="A263" t="inlineStr">
        <is>
          <t>EMP-0262</t>
        </is>
      </c>
      <c r="B263" t="inlineStr">
        <is>
          <t>Joel</t>
        </is>
      </c>
      <c r="C263" t="inlineStr">
        <is>
          <t>Castro</t>
        </is>
      </c>
      <c r="D263" t="inlineStr">
        <is>
          <t>Comercial</t>
        </is>
      </c>
      <c r="E263" t="inlineStr">
        <is>
          <t>Business developer</t>
        </is>
      </c>
      <c r="F263" t="inlineStr">
        <is>
          <t>Anuncios prensa</t>
        </is>
      </c>
      <c r="G263" t="inlineStr">
        <is>
          <t>Freelance</t>
        </is>
      </c>
      <c r="H263" s="2" t="n">
        <v>43878</v>
      </c>
      <c r="I263" s="2" t="n"/>
      <c r="J263" t="inlineStr">
        <is>
          <t>Activo</t>
        </is>
      </c>
      <c r="K263" s="3" t="n">
        <v>0.75</v>
      </c>
      <c r="L263" s="4" t="n">
        <v>52868</v>
      </c>
      <c r="M263" s="3" t="n">
        <v>0.1</v>
      </c>
      <c r="N263" s="3" t="n">
        <v>0.327</v>
      </c>
      <c r="O263" s="4">
        <f>ROUND(L263*K263*(1+M263+N263),2)</f>
        <v/>
      </c>
      <c r="P263" t="inlineStr">
        <is>
          <t>Patricia Romero</t>
        </is>
      </c>
      <c r="Q263" t="inlineStr">
        <is>
          <t>España</t>
        </is>
      </c>
      <c r="R263" t="inlineStr">
        <is>
          <t>Madrid</t>
        </is>
      </c>
    </row>
    <row r="264">
      <c r="A264" t="inlineStr">
        <is>
          <t>EMP-0263</t>
        </is>
      </c>
      <c r="B264" t="inlineStr">
        <is>
          <t>Claudia</t>
        </is>
      </c>
      <c r="C264" t="inlineStr">
        <is>
          <t>Sánchez</t>
        </is>
      </c>
      <c r="D264" t="inlineStr">
        <is>
          <t>Atención al cliente</t>
        </is>
      </c>
      <c r="E264" t="inlineStr">
        <is>
          <t>Soporte cliente</t>
        </is>
      </c>
      <c r="F264" t="inlineStr">
        <is>
          <t>Generación de noticias</t>
        </is>
      </c>
      <c r="G264" t="inlineStr">
        <is>
          <t>Indefinido</t>
        </is>
      </c>
      <c r="H264" s="2" t="n">
        <v>44160</v>
      </c>
      <c r="I264" s="2" t="n"/>
      <c r="J264" t="inlineStr">
        <is>
          <t>Activo</t>
        </is>
      </c>
      <c r="K264" s="3" t="n">
        <v>1</v>
      </c>
      <c r="L264" s="4" t="n">
        <v>46999</v>
      </c>
      <c r="M264" s="3" t="n">
        <v>0</v>
      </c>
      <c r="N264" s="3" t="n">
        <v>0.337</v>
      </c>
      <c r="O264" s="4">
        <f>ROUND(L264*K264*(1+M264+N264),2)</f>
        <v/>
      </c>
      <c r="P264" t="inlineStr">
        <is>
          <t>Jorge Molina</t>
        </is>
      </c>
      <c r="Q264" t="inlineStr">
        <is>
          <t>Colombia</t>
        </is>
      </c>
      <c r="R264" t="inlineStr">
        <is>
          <t>Bogotá</t>
        </is>
      </c>
    </row>
    <row r="265">
      <c r="A265" t="inlineStr">
        <is>
          <t>EMP-0264</t>
        </is>
      </c>
      <c r="B265" t="inlineStr">
        <is>
          <t>Nuria</t>
        </is>
      </c>
      <c r="C265" t="inlineStr">
        <is>
          <t>Blanco</t>
        </is>
      </c>
      <c r="D265" t="inlineStr">
        <is>
          <t>Redacción</t>
        </is>
      </c>
      <c r="E265" t="inlineStr">
        <is>
          <t>Redactor</t>
        </is>
      </c>
      <c r="F265" t="inlineStr">
        <is>
          <t>Mantenimiento intranets</t>
        </is>
      </c>
      <c r="G265" t="inlineStr">
        <is>
          <t>Temporal</t>
        </is>
      </c>
      <c r="H265" s="2" t="n">
        <v>44623</v>
      </c>
      <c r="I265" s="2" t="n"/>
      <c r="J265" t="inlineStr">
        <is>
          <t>Activo</t>
        </is>
      </c>
      <c r="K265" s="3" t="n">
        <v>1</v>
      </c>
      <c r="L265" s="4" t="n">
        <v>37196</v>
      </c>
      <c r="M265" s="3" t="n">
        <v>0.12</v>
      </c>
      <c r="N265" s="3" t="n">
        <v>0.287</v>
      </c>
      <c r="O265" s="4">
        <f>ROUND(L265*K265*(1+M265+N265),2)</f>
        <v/>
      </c>
      <c r="P265" t="inlineStr">
        <is>
          <t>Jorge Molina</t>
        </is>
      </c>
      <c r="Q265" t="inlineStr">
        <is>
          <t>España</t>
        </is>
      </c>
      <c r="R265" t="inlineStr">
        <is>
          <t>Valencia</t>
        </is>
      </c>
    </row>
    <row r="266">
      <c r="A266" t="inlineStr">
        <is>
          <t>EMP-0265</t>
        </is>
      </c>
      <c r="B266" t="inlineStr">
        <is>
          <t>Andrea</t>
        </is>
      </c>
      <c r="C266" t="inlineStr">
        <is>
          <t>Vázquez</t>
        </is>
      </c>
      <c r="D266" t="inlineStr">
        <is>
          <t>Redacción</t>
        </is>
      </c>
      <c r="E266" t="inlineStr">
        <is>
          <t>Content manager</t>
        </is>
      </c>
      <c r="F266" t="inlineStr">
        <is>
          <t>Anuncios internet</t>
        </is>
      </c>
      <c r="G266" t="inlineStr">
        <is>
          <t>Indefinido</t>
        </is>
      </c>
      <c r="H266" s="2" t="n">
        <v>43322</v>
      </c>
      <c r="I266" s="2" t="n"/>
      <c r="J266" t="inlineStr">
        <is>
          <t>Activo</t>
        </is>
      </c>
      <c r="K266" s="3" t="n">
        <v>0.75</v>
      </c>
      <c r="L266" s="4" t="n">
        <v>26501</v>
      </c>
      <c r="M266" s="3" t="n">
        <v>0</v>
      </c>
      <c r="N266" s="3" t="n">
        <v>0.301</v>
      </c>
      <c r="O266" s="4">
        <f>ROUND(L266*K266*(1+M266+N266),2)</f>
        <v/>
      </c>
      <c r="P266" t="inlineStr">
        <is>
          <t>Fernando Ruiz</t>
        </is>
      </c>
      <c r="Q266" t="inlineStr">
        <is>
          <t>Colombia</t>
        </is>
      </c>
      <c r="R266" t="inlineStr">
        <is>
          <t>Bogotá</t>
        </is>
      </c>
    </row>
    <row r="267">
      <c r="A267" t="inlineStr">
        <is>
          <t>EMP-0266</t>
        </is>
      </c>
      <c r="B267" t="inlineStr">
        <is>
          <t>Daniel</t>
        </is>
      </c>
      <c r="C267" t="inlineStr">
        <is>
          <t>Domínguez</t>
        </is>
      </c>
      <c r="D267" t="inlineStr">
        <is>
          <t>Traducción</t>
        </is>
      </c>
      <c r="E267" t="inlineStr">
        <is>
          <t>Traductor</t>
        </is>
      </c>
      <c r="F267" t="inlineStr">
        <is>
          <t>Anuncios RRHH</t>
        </is>
      </c>
      <c r="G267" t="inlineStr">
        <is>
          <t>Indefinido</t>
        </is>
      </c>
      <c r="H267" s="2" t="n">
        <v>43825</v>
      </c>
      <c r="I267" s="2" t="n"/>
      <c r="J267" t="inlineStr">
        <is>
          <t>Activo</t>
        </is>
      </c>
      <c r="K267" s="3" t="n">
        <v>0.5</v>
      </c>
      <c r="L267" s="4" t="n">
        <v>22154</v>
      </c>
      <c r="M267" s="3" t="n">
        <v>0.05</v>
      </c>
      <c r="N267" s="3" t="n">
        <v>0.296</v>
      </c>
      <c r="O267" s="4">
        <f>ROUND(L267*K267*(1+M267+N267),2)</f>
        <v/>
      </c>
      <c r="P267" t="inlineStr">
        <is>
          <t>Silvia Navarro</t>
        </is>
      </c>
      <c r="Q267" t="inlineStr">
        <is>
          <t>Colombia</t>
        </is>
      </c>
      <c r="R267" t="inlineStr">
        <is>
          <t>Bogotá</t>
        </is>
      </c>
    </row>
    <row r="268">
      <c r="A268" t="inlineStr">
        <is>
          <t>EMP-0267</t>
        </is>
      </c>
      <c r="B268" t="inlineStr">
        <is>
          <t>Carmen</t>
        </is>
      </c>
      <c r="C268" t="inlineStr">
        <is>
          <t>Serrano</t>
        </is>
      </c>
      <c r="D268" t="inlineStr">
        <is>
          <t>Traducción</t>
        </is>
      </c>
      <c r="E268" t="inlineStr">
        <is>
          <t>Traductor</t>
        </is>
      </c>
      <c r="F268" t="inlineStr">
        <is>
          <t>Anuncios internet</t>
        </is>
      </c>
      <c r="G268" t="inlineStr">
        <is>
          <t>Indefinido</t>
        </is>
      </c>
      <c r="H268" s="2" t="n">
        <v>44859</v>
      </c>
      <c r="I268" s="2" t="n"/>
      <c r="J268" t="inlineStr">
        <is>
          <t>Activo</t>
        </is>
      </c>
      <c r="K268" s="3" t="n">
        <v>1</v>
      </c>
      <c r="L268" s="4" t="n">
        <v>34560</v>
      </c>
      <c r="M268" s="3" t="n">
        <v>0</v>
      </c>
      <c r="N268" s="3" t="n">
        <v>0.282</v>
      </c>
      <c r="O268" s="4">
        <f>ROUND(L268*K268*(1+M268+N268),2)</f>
        <v/>
      </c>
      <c r="P268" t="inlineStr">
        <is>
          <t>Jorge Molina</t>
        </is>
      </c>
      <c r="Q268" t="inlineStr">
        <is>
          <t>México</t>
        </is>
      </c>
      <c r="R268" t="inlineStr">
        <is>
          <t>Ciudad de México</t>
        </is>
      </c>
    </row>
    <row r="269">
      <c r="A269" t="inlineStr">
        <is>
          <t>EMP-0268</t>
        </is>
      </c>
      <c r="B269" t="inlineStr">
        <is>
          <t>Carlos</t>
        </is>
      </c>
      <c r="C269" t="inlineStr">
        <is>
          <t>Delgado</t>
        </is>
      </c>
      <c r="D269" t="inlineStr">
        <is>
          <t>Marketing</t>
        </is>
      </c>
      <c r="E269" t="inlineStr">
        <is>
          <t>Campaign manager</t>
        </is>
      </c>
      <c r="F269" t="inlineStr">
        <is>
          <t>Mantenimiento web</t>
        </is>
      </c>
      <c r="G269" t="inlineStr">
        <is>
          <t>Indefinido</t>
        </is>
      </c>
      <c r="H269" s="2" t="n">
        <v>44120</v>
      </c>
      <c r="I269" s="2" t="n"/>
      <c r="J269" t="inlineStr">
        <is>
          <t>Activo</t>
        </is>
      </c>
      <c r="K269" s="3" t="n">
        <v>1</v>
      </c>
      <c r="L269" s="4" t="n">
        <v>37282</v>
      </c>
      <c r="M269" s="3" t="n">
        <v>0</v>
      </c>
      <c r="N269" s="3" t="n">
        <v>0.303</v>
      </c>
      <c r="O269" s="4">
        <f>ROUND(L269*K269*(1+M269+N269),2)</f>
        <v/>
      </c>
      <c r="P269" t="inlineStr">
        <is>
          <t>Patricia Romero</t>
        </is>
      </c>
      <c r="Q269" t="inlineStr">
        <is>
          <t>Colombia</t>
        </is>
      </c>
      <c r="R269" t="inlineStr">
        <is>
          <t>Bogotá</t>
        </is>
      </c>
    </row>
    <row r="270">
      <c r="A270" t="inlineStr">
        <is>
          <t>EMP-0269</t>
        </is>
      </c>
      <c r="B270" t="inlineStr">
        <is>
          <t>Claudia</t>
        </is>
      </c>
      <c r="C270" t="inlineStr">
        <is>
          <t>Torres</t>
        </is>
      </c>
      <c r="D270" t="inlineStr">
        <is>
          <t>Traducción</t>
        </is>
      </c>
      <c r="E270" t="inlineStr">
        <is>
          <t>Revisor lingüístico</t>
        </is>
      </c>
      <c r="F270" t="inlineStr">
        <is>
          <t>Traducciones</t>
        </is>
      </c>
      <c r="G270" t="inlineStr">
        <is>
          <t>Temporal</t>
        </is>
      </c>
      <c r="H270" s="2" t="n">
        <v>45543</v>
      </c>
      <c r="I270" s="2" t="n"/>
      <c r="J270" t="inlineStr">
        <is>
          <t>Activo</t>
        </is>
      </c>
      <c r="K270" s="3" t="n">
        <v>1</v>
      </c>
      <c r="L270" s="4" t="n">
        <v>51097</v>
      </c>
      <c r="M270" s="3" t="n">
        <v>0.1</v>
      </c>
      <c r="N270" s="3" t="n">
        <v>0.34</v>
      </c>
      <c r="O270" s="4">
        <f>ROUND(L270*K270*(1+M270+N270),2)</f>
        <v/>
      </c>
      <c r="P270" t="inlineStr">
        <is>
          <t>Fernando Ruiz</t>
        </is>
      </c>
      <c r="Q270" t="inlineStr">
        <is>
          <t>México</t>
        </is>
      </c>
      <c r="R270" t="inlineStr">
        <is>
          <t>Guadalajara</t>
        </is>
      </c>
    </row>
    <row r="271">
      <c r="A271" t="inlineStr">
        <is>
          <t>EMP-0270</t>
        </is>
      </c>
      <c r="B271" t="inlineStr">
        <is>
          <t>Carlos</t>
        </is>
      </c>
      <c r="C271" t="inlineStr">
        <is>
          <t>Ruiz</t>
        </is>
      </c>
      <c r="D271" t="inlineStr">
        <is>
          <t>Marketing</t>
        </is>
      </c>
      <c r="E271" t="inlineStr">
        <is>
          <t>Campaign manager</t>
        </is>
      </c>
      <c r="F271" t="inlineStr">
        <is>
          <t>Mantenimiento intranets</t>
        </is>
      </c>
      <c r="G271" t="inlineStr">
        <is>
          <t>Indefinido</t>
        </is>
      </c>
      <c r="H271" s="2" t="n">
        <v>43638</v>
      </c>
      <c r="I271" s="2" t="n"/>
      <c r="J271" t="inlineStr">
        <is>
          <t>Activo</t>
        </is>
      </c>
      <c r="K271" s="3" t="n">
        <v>0.5</v>
      </c>
      <c r="L271" s="4" t="n">
        <v>49456</v>
      </c>
      <c r="M271" s="3" t="n">
        <v>0</v>
      </c>
      <c r="N271" s="3" t="n">
        <v>0.287</v>
      </c>
      <c r="O271" s="4">
        <f>ROUND(L271*K271*(1+M271+N271),2)</f>
        <v/>
      </c>
      <c r="P271" t="inlineStr">
        <is>
          <t>Jorge Molina</t>
        </is>
      </c>
      <c r="Q271" t="inlineStr">
        <is>
          <t>España</t>
        </is>
      </c>
      <c r="R271" t="inlineStr">
        <is>
          <t>Sevilla</t>
        </is>
      </c>
    </row>
    <row r="272">
      <c r="A272" t="inlineStr">
        <is>
          <t>EMP-0271</t>
        </is>
      </c>
      <c r="B272" t="inlineStr">
        <is>
          <t>Eva</t>
        </is>
      </c>
      <c r="C272" t="inlineStr">
        <is>
          <t>Serrano</t>
        </is>
      </c>
      <c r="D272" t="inlineStr">
        <is>
          <t>Operaciones</t>
        </is>
      </c>
      <c r="E272" t="inlineStr">
        <is>
          <t>Especialista de cuentas</t>
        </is>
      </c>
      <c r="F272" t="inlineStr">
        <is>
          <t>Anuncios prensa</t>
        </is>
      </c>
      <c r="G272" t="inlineStr">
        <is>
          <t>Indefinido</t>
        </is>
      </c>
      <c r="H272" s="2" t="n">
        <v>43297</v>
      </c>
      <c r="I272" s="2" t="n"/>
      <c r="J272" t="inlineStr">
        <is>
          <t>Activo</t>
        </is>
      </c>
      <c r="K272" s="3" t="n">
        <v>0.5</v>
      </c>
      <c r="L272" s="4" t="n">
        <v>23580</v>
      </c>
      <c r="M272" s="3" t="n">
        <v>0.1</v>
      </c>
      <c r="N272" s="3" t="n">
        <v>0.287</v>
      </c>
      <c r="O272" s="4">
        <f>ROUND(L272*K272*(1+M272+N272),2)</f>
        <v/>
      </c>
      <c r="P272" t="inlineStr">
        <is>
          <t>Fernando Ruiz</t>
        </is>
      </c>
      <c r="Q272" t="inlineStr">
        <is>
          <t>Colombia</t>
        </is>
      </c>
      <c r="R272" t="inlineStr">
        <is>
          <t>Medellín</t>
        </is>
      </c>
    </row>
    <row r="273">
      <c r="A273" t="inlineStr">
        <is>
          <t>EMP-0272</t>
        </is>
      </c>
      <c r="B273" t="inlineStr">
        <is>
          <t>Miguel</t>
        </is>
      </c>
      <c r="C273" t="inlineStr">
        <is>
          <t>Castro</t>
        </is>
      </c>
      <c r="D273" t="inlineStr">
        <is>
          <t>Redacción</t>
        </is>
      </c>
      <c r="E273" t="inlineStr">
        <is>
          <t>Content manager</t>
        </is>
      </c>
      <c r="F273" t="inlineStr">
        <is>
          <t>Anuncios TV</t>
        </is>
      </c>
      <c r="G273" t="inlineStr">
        <is>
          <t>Indefinido</t>
        </is>
      </c>
      <c r="H273" s="2" t="n">
        <v>43139</v>
      </c>
      <c r="I273" s="2" t="n"/>
      <c r="J273" t="inlineStr">
        <is>
          <t>Activo</t>
        </is>
      </c>
      <c r="K273" s="3" t="n">
        <v>0.5</v>
      </c>
      <c r="L273" s="4" t="n">
        <v>43708</v>
      </c>
      <c r="M273" s="3" t="n">
        <v>0.08</v>
      </c>
      <c r="N273" s="3" t="n">
        <v>0.296</v>
      </c>
      <c r="O273" s="4">
        <f>ROUND(L273*K273*(1+M273+N273),2)</f>
        <v/>
      </c>
      <c r="P273" t="inlineStr">
        <is>
          <t>Jorge Molina</t>
        </is>
      </c>
      <c r="Q273" t="inlineStr">
        <is>
          <t>España</t>
        </is>
      </c>
      <c r="R273" t="inlineStr">
        <is>
          <t>Barcelona</t>
        </is>
      </c>
    </row>
    <row r="274">
      <c r="A274" t="inlineStr">
        <is>
          <t>EMP-0273</t>
        </is>
      </c>
      <c r="B274" t="inlineStr">
        <is>
          <t>Noelia</t>
        </is>
      </c>
      <c r="C274" t="inlineStr">
        <is>
          <t>Suárez</t>
        </is>
      </c>
      <c r="D274" t="inlineStr">
        <is>
          <t>Traducción</t>
        </is>
      </c>
      <c r="E274" t="inlineStr">
        <is>
          <t>Revisor lingüístico</t>
        </is>
      </c>
      <c r="F274" t="inlineStr">
        <is>
          <t>Anuncios prensa</t>
        </is>
      </c>
      <c r="G274" t="inlineStr">
        <is>
          <t>Indefinido</t>
        </is>
      </c>
      <c r="H274" s="2" t="n">
        <v>44258</v>
      </c>
      <c r="I274" s="2" t="n"/>
      <c r="J274" t="inlineStr">
        <is>
          <t>Activo</t>
        </is>
      </c>
      <c r="K274" s="3" t="n">
        <v>0.5</v>
      </c>
      <c r="L274" s="4" t="n">
        <v>38309</v>
      </c>
      <c r="M274" s="3" t="n">
        <v>0</v>
      </c>
      <c r="N274" s="3" t="n">
        <v>0.317</v>
      </c>
      <c r="O274" s="4">
        <f>ROUND(L274*K274*(1+M274+N274),2)</f>
        <v/>
      </c>
      <c r="P274" t="inlineStr">
        <is>
          <t>Silvia Navarro</t>
        </is>
      </c>
      <c r="Q274" t="inlineStr">
        <is>
          <t>Colombia</t>
        </is>
      </c>
      <c r="R274" t="inlineStr">
        <is>
          <t>Bogotá</t>
        </is>
      </c>
    </row>
    <row r="275">
      <c r="A275" t="inlineStr">
        <is>
          <t>EMP-0274</t>
        </is>
      </c>
      <c r="B275" t="inlineStr">
        <is>
          <t>Elena</t>
        </is>
      </c>
      <c r="C275" t="inlineStr">
        <is>
          <t>Martínez</t>
        </is>
      </c>
      <c r="D275" t="inlineStr">
        <is>
          <t>Tecnología</t>
        </is>
      </c>
      <c r="E275" t="inlineStr">
        <is>
          <t>Desarrollador web</t>
        </is>
      </c>
      <c r="F275" t="inlineStr">
        <is>
          <t>Anuncios RRHH</t>
        </is>
      </c>
      <c r="G275" t="inlineStr">
        <is>
          <t>Indefinido</t>
        </is>
      </c>
      <c r="H275" s="2" t="n">
        <v>43951</v>
      </c>
      <c r="I275" s="2" t="n"/>
      <c r="J275" t="inlineStr">
        <is>
          <t>Activo</t>
        </is>
      </c>
      <c r="K275" s="3" t="n">
        <v>1</v>
      </c>
      <c r="L275" s="4" t="n">
        <v>38754</v>
      </c>
      <c r="M275" s="3" t="n">
        <v>0</v>
      </c>
      <c r="N275" s="3" t="n">
        <v>0.281</v>
      </c>
      <c r="O275" s="4">
        <f>ROUND(L275*K275*(1+M275+N275),2)</f>
        <v/>
      </c>
      <c r="P275" t="inlineStr">
        <is>
          <t>Ana Torres</t>
        </is>
      </c>
      <c r="Q275" t="inlineStr">
        <is>
          <t>México</t>
        </is>
      </c>
      <c r="R275" t="inlineStr">
        <is>
          <t>Guadalajara</t>
        </is>
      </c>
    </row>
    <row r="276">
      <c r="A276" t="inlineStr">
        <is>
          <t>EMP-0275</t>
        </is>
      </c>
      <c r="B276" t="inlineStr">
        <is>
          <t>Paula</t>
        </is>
      </c>
      <c r="C276" t="inlineStr">
        <is>
          <t>Cano</t>
        </is>
      </c>
      <c r="D276" t="inlineStr">
        <is>
          <t>Finanzas</t>
        </is>
      </c>
      <c r="E276" t="inlineStr">
        <is>
          <t>Analista financiero</t>
        </is>
      </c>
      <c r="F276" t="inlineStr">
        <is>
          <t>Publicación de noticias</t>
        </is>
      </c>
      <c r="G276" t="inlineStr">
        <is>
          <t>Indefinido</t>
        </is>
      </c>
      <c r="H276" s="2" t="n">
        <v>44047</v>
      </c>
      <c r="I276" s="2" t="n"/>
      <c r="J276" t="inlineStr">
        <is>
          <t>Activo</t>
        </is>
      </c>
      <c r="K276" s="3" t="n">
        <v>1</v>
      </c>
      <c r="L276" s="4" t="n">
        <v>30654</v>
      </c>
      <c r="M276" s="3" t="n">
        <v>0.05</v>
      </c>
      <c r="N276" s="3" t="n">
        <v>0.283</v>
      </c>
      <c r="O276" s="4">
        <f>ROUND(L276*K276*(1+M276+N276),2)</f>
        <v/>
      </c>
      <c r="P276" t="inlineStr">
        <is>
          <t>Ana Torres</t>
        </is>
      </c>
      <c r="Q276" t="inlineStr">
        <is>
          <t>Chile</t>
        </is>
      </c>
      <c r="R276" t="inlineStr">
        <is>
          <t>Santiago</t>
        </is>
      </c>
    </row>
    <row r="277">
      <c r="A277" t="inlineStr">
        <is>
          <t>EMP-0276</t>
        </is>
      </c>
      <c r="B277" t="inlineStr">
        <is>
          <t>Víctor</t>
        </is>
      </c>
      <c r="C277" t="inlineStr">
        <is>
          <t>Suárez</t>
        </is>
      </c>
      <c r="D277" t="inlineStr">
        <is>
          <t>Comercial</t>
        </is>
      </c>
      <c r="E277" t="inlineStr">
        <is>
          <t>Sales manager</t>
        </is>
      </c>
      <c r="F277" t="inlineStr">
        <is>
          <t>Anuncios RRHH</t>
        </is>
      </c>
      <c r="G277" t="inlineStr">
        <is>
          <t>Indefinido</t>
        </is>
      </c>
      <c r="H277" s="2" t="n">
        <v>43288</v>
      </c>
      <c r="I277" s="2" t="n">
        <v>43751</v>
      </c>
      <c r="J277" t="inlineStr">
        <is>
          <t>Baja</t>
        </is>
      </c>
      <c r="K277" s="3" t="n">
        <v>0.75</v>
      </c>
      <c r="L277" s="4" t="n">
        <v>39697</v>
      </c>
      <c r="M277" s="3" t="n">
        <v>0.05</v>
      </c>
      <c r="N277" s="3" t="n">
        <v>0.337</v>
      </c>
      <c r="O277" s="4">
        <f>ROUND(L277*K277*(1+M277+N277),2)</f>
        <v/>
      </c>
      <c r="P277" t="inlineStr">
        <is>
          <t>Jorge Molina</t>
        </is>
      </c>
      <c r="Q277" t="inlineStr">
        <is>
          <t>México</t>
        </is>
      </c>
      <c r="R277" t="inlineStr">
        <is>
          <t>Guadalajara</t>
        </is>
      </c>
    </row>
    <row r="278">
      <c r="A278" t="inlineStr">
        <is>
          <t>EMP-0277</t>
        </is>
      </c>
      <c r="B278" t="inlineStr">
        <is>
          <t>Álvaro</t>
        </is>
      </c>
      <c r="C278" t="inlineStr">
        <is>
          <t>Alonso</t>
        </is>
      </c>
      <c r="D278" t="inlineStr">
        <is>
          <t>Redacción</t>
        </is>
      </c>
      <c r="E278" t="inlineStr">
        <is>
          <t>Editor</t>
        </is>
      </c>
      <c r="F278" t="inlineStr">
        <is>
          <t>Anuncios RRHH</t>
        </is>
      </c>
      <c r="G278" t="inlineStr">
        <is>
          <t>Indefinido</t>
        </is>
      </c>
      <c r="H278" s="2" t="n">
        <v>44970</v>
      </c>
      <c r="I278" s="2" t="n"/>
      <c r="J278" t="inlineStr">
        <is>
          <t>Activo</t>
        </is>
      </c>
      <c r="K278" s="3" t="n">
        <v>1</v>
      </c>
      <c r="L278" s="4" t="n">
        <v>44606</v>
      </c>
      <c r="M278" s="3" t="n">
        <v>0.12</v>
      </c>
      <c r="N278" s="3" t="n">
        <v>0.309</v>
      </c>
      <c r="O278" s="4">
        <f>ROUND(L278*K278*(1+M278+N278),2)</f>
        <v/>
      </c>
      <c r="P278" t="inlineStr">
        <is>
          <t>Jorge Molina</t>
        </is>
      </c>
      <c r="Q278" t="inlineStr">
        <is>
          <t>México</t>
        </is>
      </c>
      <c r="R278" t="inlineStr">
        <is>
          <t>Ciudad de México</t>
        </is>
      </c>
    </row>
    <row r="279">
      <c r="A279" t="inlineStr">
        <is>
          <t>EMP-0278</t>
        </is>
      </c>
      <c r="B279" t="inlineStr">
        <is>
          <t>Elena</t>
        </is>
      </c>
      <c r="C279" t="inlineStr">
        <is>
          <t>Sánchez</t>
        </is>
      </c>
      <c r="D279" t="inlineStr">
        <is>
          <t>Traducción</t>
        </is>
      </c>
      <c r="E279" t="inlineStr">
        <is>
          <t>Revisor lingüístico</t>
        </is>
      </c>
      <c r="F279" t="inlineStr">
        <is>
          <t>Traducciones</t>
        </is>
      </c>
      <c r="G279" t="inlineStr">
        <is>
          <t>Indefinido</t>
        </is>
      </c>
      <c r="H279" s="2" t="n">
        <v>45520</v>
      </c>
      <c r="I279" s="2" t="n"/>
      <c r="J279" t="inlineStr">
        <is>
          <t>Activo</t>
        </is>
      </c>
      <c r="K279" s="3" t="n">
        <v>1</v>
      </c>
      <c r="L279" s="4" t="n">
        <v>44229</v>
      </c>
      <c r="M279" s="3" t="n">
        <v>0.05</v>
      </c>
      <c r="N279" s="3" t="n">
        <v>0.291</v>
      </c>
      <c r="O279" s="4">
        <f>ROUND(L279*K279*(1+M279+N279),2)</f>
        <v/>
      </c>
      <c r="P279" t="inlineStr">
        <is>
          <t>Patricia Romero</t>
        </is>
      </c>
      <c r="Q279" t="inlineStr">
        <is>
          <t>España</t>
        </is>
      </c>
      <c r="R279" t="inlineStr">
        <is>
          <t>Madrid</t>
        </is>
      </c>
    </row>
    <row r="280">
      <c r="A280" t="inlineStr">
        <is>
          <t>EMP-0279</t>
        </is>
      </c>
      <c r="B280" t="inlineStr">
        <is>
          <t>Álvaro</t>
        </is>
      </c>
      <c r="C280" t="inlineStr">
        <is>
          <t>Cano</t>
        </is>
      </c>
      <c r="D280" t="inlineStr">
        <is>
          <t>Operaciones</t>
        </is>
      </c>
      <c r="E280" t="inlineStr">
        <is>
          <t>Project manager</t>
        </is>
      </c>
      <c r="F280" t="inlineStr">
        <is>
          <t>Publicación de noticias</t>
        </is>
      </c>
      <c r="G280" t="inlineStr">
        <is>
          <t>Indefinido</t>
        </is>
      </c>
      <c r="H280" s="2" t="n">
        <v>43289</v>
      </c>
      <c r="I280" s="2" t="n">
        <v>44112</v>
      </c>
      <c r="J280" t="inlineStr">
        <is>
          <t>Baja</t>
        </is>
      </c>
      <c r="K280" s="3" t="n">
        <v>0.5</v>
      </c>
      <c r="L280" s="4" t="n">
        <v>45087</v>
      </c>
      <c r="M280" s="3" t="n">
        <v>0.12</v>
      </c>
      <c r="N280" s="3" t="n">
        <v>0.321</v>
      </c>
      <c r="O280" s="4">
        <f>ROUND(L280*K280*(1+M280+N280),2)</f>
        <v/>
      </c>
      <c r="P280" t="inlineStr">
        <is>
          <t>Silvia Navarro</t>
        </is>
      </c>
      <c r="Q280" t="inlineStr">
        <is>
          <t>España</t>
        </is>
      </c>
      <c r="R280" t="inlineStr">
        <is>
          <t>Sevilla</t>
        </is>
      </c>
    </row>
    <row r="281">
      <c r="A281" t="inlineStr">
        <is>
          <t>EMP-0280</t>
        </is>
      </c>
      <c r="B281" t="inlineStr">
        <is>
          <t>Víctor</t>
        </is>
      </c>
      <c r="C281" t="inlineStr">
        <is>
          <t>Delgado</t>
        </is>
      </c>
      <c r="D281" t="inlineStr">
        <is>
          <t>Tecnología</t>
        </is>
      </c>
      <c r="E281" t="inlineStr">
        <is>
          <t>QA web</t>
        </is>
      </c>
      <c r="F281" t="inlineStr">
        <is>
          <t>Anuncios RRHH</t>
        </is>
      </c>
      <c r="G281" t="inlineStr">
        <is>
          <t>Temporal</t>
        </is>
      </c>
      <c r="H281" s="2" t="n">
        <v>45074</v>
      </c>
      <c r="I281" s="2" t="n"/>
      <c r="J281" t="inlineStr">
        <is>
          <t>Activo</t>
        </is>
      </c>
      <c r="K281" s="3" t="n">
        <v>1</v>
      </c>
      <c r="L281" s="4" t="n">
        <v>37744</v>
      </c>
      <c r="M281" s="3" t="n">
        <v>0.12</v>
      </c>
      <c r="N281" s="3" t="n">
        <v>0.314</v>
      </c>
      <c r="O281" s="4">
        <f>ROUND(L281*K281*(1+M281+N281),2)</f>
        <v/>
      </c>
      <c r="P281" t="inlineStr">
        <is>
          <t>Ana Torres</t>
        </is>
      </c>
      <c r="Q281" t="inlineStr">
        <is>
          <t>España</t>
        </is>
      </c>
      <c r="R281" t="inlineStr">
        <is>
          <t>Madrid</t>
        </is>
      </c>
    </row>
    <row r="282">
      <c r="A282" t="inlineStr">
        <is>
          <t>EMP-0281</t>
        </is>
      </c>
      <c r="B282" t="inlineStr">
        <is>
          <t>Iván</t>
        </is>
      </c>
      <c r="C282" t="inlineStr">
        <is>
          <t>Marín</t>
        </is>
      </c>
      <c r="D282" t="inlineStr">
        <is>
          <t>Operaciones</t>
        </is>
      </c>
      <c r="E282" t="inlineStr">
        <is>
          <t>Project manager</t>
        </is>
      </c>
      <c r="F282" t="inlineStr">
        <is>
          <t>Publicación de noticias</t>
        </is>
      </c>
      <c r="G282" t="inlineStr">
        <is>
          <t>Indefinido</t>
        </is>
      </c>
      <c r="H282" s="2" t="n">
        <v>45114</v>
      </c>
      <c r="I282" s="2" t="n"/>
      <c r="J282" t="inlineStr">
        <is>
          <t>Activo</t>
        </is>
      </c>
      <c r="K282" s="3" t="n">
        <v>1</v>
      </c>
      <c r="L282" s="4" t="n">
        <v>31114</v>
      </c>
      <c r="M282" s="3" t="n">
        <v>0</v>
      </c>
      <c r="N282" s="3" t="n">
        <v>0.31</v>
      </c>
      <c r="O282" s="4">
        <f>ROUND(L282*K282*(1+M282+N282),2)</f>
        <v/>
      </c>
      <c r="P282" t="inlineStr">
        <is>
          <t>Jorge Molina</t>
        </is>
      </c>
      <c r="Q282" t="inlineStr">
        <is>
          <t>España</t>
        </is>
      </c>
      <c r="R282" t="inlineStr">
        <is>
          <t>Sevilla</t>
        </is>
      </c>
    </row>
    <row r="283">
      <c r="A283" t="inlineStr">
        <is>
          <t>EMP-0282</t>
        </is>
      </c>
      <c r="B283" t="inlineStr">
        <is>
          <t>Óscar</t>
        </is>
      </c>
      <c r="C283" t="inlineStr">
        <is>
          <t>Torres</t>
        </is>
      </c>
      <c r="D283" t="inlineStr">
        <is>
          <t>RRHH</t>
        </is>
      </c>
      <c r="E283" t="inlineStr">
        <is>
          <t>Recruitment marketer</t>
        </is>
      </c>
      <c r="F283" t="inlineStr">
        <is>
          <t>Anuncios prensa</t>
        </is>
      </c>
      <c r="G283" t="inlineStr">
        <is>
          <t>Temporal</t>
        </is>
      </c>
      <c r="H283" s="2" t="n">
        <v>44936</v>
      </c>
      <c r="I283" s="2" t="n"/>
      <c r="J283" t="inlineStr">
        <is>
          <t>Activo</t>
        </is>
      </c>
      <c r="K283" s="3" t="n">
        <v>1</v>
      </c>
      <c r="L283" s="4" t="n">
        <v>36649</v>
      </c>
      <c r="M283" s="3" t="n">
        <v>0.03</v>
      </c>
      <c r="N283" s="3" t="n">
        <v>0.287</v>
      </c>
      <c r="O283" s="4">
        <f>ROUND(L283*K283*(1+M283+N283),2)</f>
        <v/>
      </c>
      <c r="P283" t="inlineStr">
        <is>
          <t>Jorge Molina</t>
        </is>
      </c>
      <c r="Q283" t="inlineStr">
        <is>
          <t>México</t>
        </is>
      </c>
      <c r="R283" t="inlineStr">
        <is>
          <t>Ciudad de México</t>
        </is>
      </c>
    </row>
    <row r="284">
      <c r="A284" t="inlineStr">
        <is>
          <t>EMP-0283</t>
        </is>
      </c>
      <c r="B284" t="inlineStr">
        <is>
          <t>Gonzalo</t>
        </is>
      </c>
      <c r="C284" t="inlineStr">
        <is>
          <t>Ramos</t>
        </is>
      </c>
      <c r="D284" t="inlineStr">
        <is>
          <t>Operaciones</t>
        </is>
      </c>
      <c r="E284" t="inlineStr">
        <is>
          <t>Project manager</t>
        </is>
      </c>
      <c r="F284" t="inlineStr">
        <is>
          <t>Traducciones</t>
        </is>
      </c>
      <c r="G284" t="inlineStr">
        <is>
          <t>Indefinido</t>
        </is>
      </c>
      <c r="H284" s="2" t="n">
        <v>43473</v>
      </c>
      <c r="I284" s="2" t="n"/>
      <c r="J284" t="inlineStr">
        <is>
          <t>Activo</t>
        </is>
      </c>
      <c r="K284" s="3" t="n">
        <v>1</v>
      </c>
      <c r="L284" s="4" t="n">
        <v>42890</v>
      </c>
      <c r="M284" s="3" t="n">
        <v>0.03</v>
      </c>
      <c r="N284" s="3" t="n">
        <v>0.333</v>
      </c>
      <c r="O284" s="4">
        <f>ROUND(L284*K284*(1+M284+N284),2)</f>
        <v/>
      </c>
      <c r="P284" t="inlineStr">
        <is>
          <t>Luis Gómez</t>
        </is>
      </c>
      <c r="Q284" t="inlineStr">
        <is>
          <t>España</t>
        </is>
      </c>
      <c r="R284" t="inlineStr">
        <is>
          <t>Madrid</t>
        </is>
      </c>
    </row>
    <row r="285">
      <c r="A285" t="inlineStr">
        <is>
          <t>EMP-0284</t>
        </is>
      </c>
      <c r="B285" t="inlineStr">
        <is>
          <t>Irene</t>
        </is>
      </c>
      <c r="C285" t="inlineStr">
        <is>
          <t>Marín</t>
        </is>
      </c>
      <c r="D285" t="inlineStr">
        <is>
          <t>Finanzas</t>
        </is>
      </c>
      <c r="E285" t="inlineStr">
        <is>
          <t>Técnico de facturación</t>
        </is>
      </c>
      <c r="F285" t="inlineStr">
        <is>
          <t>Anuncios RRHH</t>
        </is>
      </c>
      <c r="G285" t="inlineStr">
        <is>
          <t>Indefinido</t>
        </is>
      </c>
      <c r="H285" s="2" t="n">
        <v>45395</v>
      </c>
      <c r="I285" s="2" t="n"/>
      <c r="J285" t="inlineStr">
        <is>
          <t>Activo</t>
        </is>
      </c>
      <c r="K285" s="3" t="n">
        <v>1</v>
      </c>
      <c r="L285" s="4" t="n">
        <v>37503</v>
      </c>
      <c r="M285" s="3" t="n">
        <v>0.1</v>
      </c>
      <c r="N285" s="3" t="n">
        <v>0.319</v>
      </c>
      <c r="O285" s="4">
        <f>ROUND(L285*K285*(1+M285+N285),2)</f>
        <v/>
      </c>
      <c r="P285" t="inlineStr">
        <is>
          <t>Fernando Ruiz</t>
        </is>
      </c>
      <c r="Q285" t="inlineStr">
        <is>
          <t>España</t>
        </is>
      </c>
      <c r="R285" t="inlineStr">
        <is>
          <t>Madrid</t>
        </is>
      </c>
    </row>
    <row r="286">
      <c r="A286" t="inlineStr">
        <is>
          <t>EMP-0285</t>
        </is>
      </c>
      <c r="B286" t="inlineStr">
        <is>
          <t>Lucía</t>
        </is>
      </c>
      <c r="C286" t="inlineStr">
        <is>
          <t>Álvarez</t>
        </is>
      </c>
      <c r="D286" t="inlineStr">
        <is>
          <t>Redacción</t>
        </is>
      </c>
      <c r="E286" t="inlineStr">
        <is>
          <t>Redactor</t>
        </is>
      </c>
      <c r="F286" t="inlineStr">
        <is>
          <t>Traducciones</t>
        </is>
      </c>
      <c r="G286" t="inlineStr">
        <is>
          <t>Indefinido</t>
        </is>
      </c>
      <c r="H286" s="2" t="n">
        <v>44296</v>
      </c>
      <c r="I286" s="2" t="n"/>
      <c r="J286" t="inlineStr">
        <is>
          <t>Activo</t>
        </is>
      </c>
      <c r="K286" s="3" t="n">
        <v>1</v>
      </c>
      <c r="L286" s="4" t="n">
        <v>45006</v>
      </c>
      <c r="M286" s="3" t="n">
        <v>0</v>
      </c>
      <c r="N286" s="3" t="n">
        <v>0.283</v>
      </c>
      <c r="O286" s="4">
        <f>ROUND(L286*K286*(1+M286+N286),2)</f>
        <v/>
      </c>
      <c r="P286" t="inlineStr">
        <is>
          <t>Fernando Ruiz</t>
        </is>
      </c>
      <c r="Q286" t="inlineStr">
        <is>
          <t>México</t>
        </is>
      </c>
      <c r="R286" t="inlineStr">
        <is>
          <t>Ciudad de México</t>
        </is>
      </c>
    </row>
    <row r="287">
      <c r="A287" t="inlineStr">
        <is>
          <t>EMP-0286</t>
        </is>
      </c>
      <c r="B287" t="inlineStr">
        <is>
          <t>Laura</t>
        </is>
      </c>
      <c r="C287" t="inlineStr">
        <is>
          <t>Sánchez</t>
        </is>
      </c>
      <c r="D287" t="inlineStr">
        <is>
          <t>Traducción</t>
        </is>
      </c>
      <c r="E287" t="inlineStr">
        <is>
          <t>Revisor lingüístico</t>
        </is>
      </c>
      <c r="F287" t="inlineStr">
        <is>
          <t>Anuncios prensa</t>
        </is>
      </c>
      <c r="G287" t="inlineStr">
        <is>
          <t>Freelance</t>
        </is>
      </c>
      <c r="H287" s="2" t="n">
        <v>44710</v>
      </c>
      <c r="I287" s="2" t="n"/>
      <c r="J287" t="inlineStr">
        <is>
          <t>Activo</t>
        </is>
      </c>
      <c r="K287" s="3" t="n">
        <v>0.75</v>
      </c>
      <c r="L287" s="4" t="n">
        <v>45487</v>
      </c>
      <c r="M287" s="3" t="n">
        <v>0.03</v>
      </c>
      <c r="N287" s="3" t="n">
        <v>0.286</v>
      </c>
      <c r="O287" s="4">
        <f>ROUND(L287*K287*(1+M287+N287),2)</f>
        <v/>
      </c>
      <c r="P287" t="inlineStr">
        <is>
          <t>Ana Torres</t>
        </is>
      </c>
      <c r="Q287" t="inlineStr">
        <is>
          <t>España</t>
        </is>
      </c>
      <c r="R287" t="inlineStr">
        <is>
          <t>Barcelona</t>
        </is>
      </c>
    </row>
    <row r="288">
      <c r="A288" t="inlineStr">
        <is>
          <t>EMP-0287</t>
        </is>
      </c>
      <c r="B288" t="inlineStr">
        <is>
          <t>Iván</t>
        </is>
      </c>
      <c r="C288" t="inlineStr">
        <is>
          <t>García</t>
        </is>
      </c>
      <c r="D288" t="inlineStr">
        <is>
          <t>Redacción</t>
        </is>
      </c>
      <c r="E288" t="inlineStr">
        <is>
          <t>Content manager</t>
        </is>
      </c>
      <c r="F288" t="inlineStr">
        <is>
          <t>Anuncios internet</t>
        </is>
      </c>
      <c r="G288" t="inlineStr">
        <is>
          <t>Indefinido</t>
        </is>
      </c>
      <c r="H288" s="2" t="n">
        <v>43299</v>
      </c>
      <c r="I288" s="2" t="n"/>
      <c r="J288" t="inlineStr">
        <is>
          <t>Activo</t>
        </is>
      </c>
      <c r="K288" s="3" t="n">
        <v>1</v>
      </c>
      <c r="L288" s="4" t="n">
        <v>49486</v>
      </c>
      <c r="M288" s="3" t="n">
        <v>0.08</v>
      </c>
      <c r="N288" s="3" t="n">
        <v>0.309</v>
      </c>
      <c r="O288" s="4">
        <f>ROUND(L288*K288*(1+M288+N288),2)</f>
        <v/>
      </c>
      <c r="P288" t="inlineStr">
        <is>
          <t>Luis Gómez</t>
        </is>
      </c>
      <c r="Q288" t="inlineStr">
        <is>
          <t>España</t>
        </is>
      </c>
      <c r="R288" t="inlineStr">
        <is>
          <t>Barcelona</t>
        </is>
      </c>
    </row>
    <row r="289">
      <c r="A289" t="inlineStr">
        <is>
          <t>EMP-0288</t>
        </is>
      </c>
      <c r="B289" t="inlineStr">
        <is>
          <t>Noelia</t>
        </is>
      </c>
      <c r="C289" t="inlineStr">
        <is>
          <t>Cano</t>
        </is>
      </c>
      <c r="D289" t="inlineStr">
        <is>
          <t>Traducción</t>
        </is>
      </c>
      <c r="E289" t="inlineStr">
        <is>
          <t>Revisor lingüístico</t>
        </is>
      </c>
      <c r="F289" t="inlineStr">
        <is>
          <t>Publicación de noticias</t>
        </is>
      </c>
      <c r="G289" t="inlineStr">
        <is>
          <t>Indefinido</t>
        </is>
      </c>
      <c r="H289" s="2" t="n">
        <v>45595</v>
      </c>
      <c r="I289" s="2" t="n"/>
      <c r="J289" t="inlineStr">
        <is>
          <t>Activo</t>
        </is>
      </c>
      <c r="K289" s="3" t="n">
        <v>0.75</v>
      </c>
      <c r="L289" s="4" t="n">
        <v>30965</v>
      </c>
      <c r="M289" s="3" t="n">
        <v>0.05</v>
      </c>
      <c r="N289" s="3" t="n">
        <v>0.338</v>
      </c>
      <c r="O289" s="4">
        <f>ROUND(L289*K289*(1+M289+N289),2)</f>
        <v/>
      </c>
      <c r="P289" t="inlineStr">
        <is>
          <t>Fernando Ruiz</t>
        </is>
      </c>
      <c r="Q289" t="inlineStr">
        <is>
          <t>España</t>
        </is>
      </c>
      <c r="R289" t="inlineStr">
        <is>
          <t>Valencia</t>
        </is>
      </c>
    </row>
    <row r="290">
      <c r="A290" t="inlineStr">
        <is>
          <t>EMP-0289</t>
        </is>
      </c>
      <c r="B290" t="inlineStr">
        <is>
          <t>Gonzalo</t>
        </is>
      </c>
      <c r="C290" t="inlineStr">
        <is>
          <t>Marín</t>
        </is>
      </c>
      <c r="D290" t="inlineStr">
        <is>
          <t>Traducción</t>
        </is>
      </c>
      <c r="E290" t="inlineStr">
        <is>
          <t>Localization manager</t>
        </is>
      </c>
      <c r="F290" t="inlineStr">
        <is>
          <t>Publicación de noticias</t>
        </is>
      </c>
      <c r="G290" t="inlineStr">
        <is>
          <t>Indefinido</t>
        </is>
      </c>
      <c r="H290" s="2" t="n">
        <v>45368</v>
      </c>
      <c r="I290" s="2" t="n"/>
      <c r="J290" t="inlineStr">
        <is>
          <t>Activo</t>
        </is>
      </c>
      <c r="K290" s="3" t="n">
        <v>0.75</v>
      </c>
      <c r="L290" s="4" t="n">
        <v>28871</v>
      </c>
      <c r="M290" s="3" t="n">
        <v>0.08</v>
      </c>
      <c r="N290" s="3" t="n">
        <v>0.323</v>
      </c>
      <c r="O290" s="4">
        <f>ROUND(L290*K290*(1+M290+N290),2)</f>
        <v/>
      </c>
      <c r="P290" t="inlineStr">
        <is>
          <t>Patricia Romero</t>
        </is>
      </c>
      <c r="Q290" t="inlineStr">
        <is>
          <t>España</t>
        </is>
      </c>
      <c r="R290" t="inlineStr">
        <is>
          <t>Valencia</t>
        </is>
      </c>
    </row>
    <row r="291">
      <c r="A291" t="inlineStr">
        <is>
          <t>EMP-0290</t>
        </is>
      </c>
      <c r="B291" t="inlineStr">
        <is>
          <t>Álvaro</t>
        </is>
      </c>
      <c r="C291" t="inlineStr">
        <is>
          <t>Molina</t>
        </is>
      </c>
      <c r="D291" t="inlineStr">
        <is>
          <t>Traducción</t>
        </is>
      </c>
      <c r="E291" t="inlineStr">
        <is>
          <t>Localization manager</t>
        </is>
      </c>
      <c r="F291" t="inlineStr">
        <is>
          <t>Publicación de noticias</t>
        </is>
      </c>
      <c r="G291" t="inlineStr">
        <is>
          <t>Indefinido</t>
        </is>
      </c>
      <c r="H291" s="2" t="n">
        <v>45068</v>
      </c>
      <c r="I291" s="2" t="n"/>
      <c r="J291" t="inlineStr">
        <is>
          <t>Activo</t>
        </is>
      </c>
      <c r="K291" s="3" t="n">
        <v>1</v>
      </c>
      <c r="L291" s="4" t="n">
        <v>44093</v>
      </c>
      <c r="M291" s="3" t="n">
        <v>0.1</v>
      </c>
      <c r="N291" s="3" t="n">
        <v>0.334</v>
      </c>
      <c r="O291" s="4">
        <f>ROUND(L291*K291*(1+M291+N291),2)</f>
        <v/>
      </c>
      <c r="P291" t="inlineStr">
        <is>
          <t>Patricia Romero</t>
        </is>
      </c>
      <c r="Q291" t="inlineStr">
        <is>
          <t>España</t>
        </is>
      </c>
      <c r="R291" t="inlineStr">
        <is>
          <t>Valencia</t>
        </is>
      </c>
    </row>
    <row r="292">
      <c r="A292" t="inlineStr">
        <is>
          <t>EMP-0291</t>
        </is>
      </c>
      <c r="B292" t="inlineStr">
        <is>
          <t>Andrea</t>
        </is>
      </c>
      <c r="C292" t="inlineStr">
        <is>
          <t>Pérez</t>
        </is>
      </c>
      <c r="D292" t="inlineStr">
        <is>
          <t>RRHH</t>
        </is>
      </c>
      <c r="E292" t="inlineStr">
        <is>
          <t>Especialista RRHH</t>
        </is>
      </c>
      <c r="F292" t="inlineStr">
        <is>
          <t>Mantenimiento web</t>
        </is>
      </c>
      <c r="G292" t="inlineStr">
        <is>
          <t>Indefinido</t>
        </is>
      </c>
      <c r="H292" s="2" t="n">
        <v>43332</v>
      </c>
      <c r="I292" s="2" t="n"/>
      <c r="J292" t="inlineStr">
        <is>
          <t>Activo</t>
        </is>
      </c>
      <c r="K292" s="3" t="n">
        <v>0.75</v>
      </c>
      <c r="L292" s="4" t="n">
        <v>31391</v>
      </c>
      <c r="M292" s="3" t="n">
        <v>0.1</v>
      </c>
      <c r="N292" s="3" t="n">
        <v>0.295</v>
      </c>
      <c r="O292" s="4">
        <f>ROUND(L292*K292*(1+M292+N292),2)</f>
        <v/>
      </c>
      <c r="P292" t="inlineStr">
        <is>
          <t>Jorge Molina</t>
        </is>
      </c>
      <c r="Q292" t="inlineStr">
        <is>
          <t>España</t>
        </is>
      </c>
      <c r="R292" t="inlineStr">
        <is>
          <t>Madrid</t>
        </is>
      </c>
    </row>
    <row r="293">
      <c r="A293" t="inlineStr">
        <is>
          <t>EMP-0292</t>
        </is>
      </c>
      <c r="B293" t="inlineStr">
        <is>
          <t>Teresa</t>
        </is>
      </c>
      <c r="C293" t="inlineStr">
        <is>
          <t>Morales</t>
        </is>
      </c>
      <c r="D293" t="inlineStr">
        <is>
          <t>Comercial</t>
        </is>
      </c>
      <c r="E293" t="inlineStr">
        <is>
          <t>Sales manager</t>
        </is>
      </c>
      <c r="F293" t="inlineStr">
        <is>
          <t>Mantenimiento intranets</t>
        </is>
      </c>
      <c r="G293" t="inlineStr">
        <is>
          <t>Indefinido</t>
        </is>
      </c>
      <c r="H293" s="2" t="n">
        <v>45624</v>
      </c>
      <c r="I293" s="2" t="n"/>
      <c r="J293" t="inlineStr">
        <is>
          <t>Activo</t>
        </is>
      </c>
      <c r="K293" s="3" t="n">
        <v>1</v>
      </c>
      <c r="L293" s="4" t="n">
        <v>56176</v>
      </c>
      <c r="M293" s="3" t="n">
        <v>0.1</v>
      </c>
      <c r="N293" s="3" t="n">
        <v>0.319</v>
      </c>
      <c r="O293" s="4">
        <f>ROUND(L293*K293*(1+M293+N293),2)</f>
        <v/>
      </c>
      <c r="P293" t="inlineStr">
        <is>
          <t>Luis Gómez</t>
        </is>
      </c>
      <c r="Q293" t="inlineStr">
        <is>
          <t>México</t>
        </is>
      </c>
      <c r="R293" t="inlineStr">
        <is>
          <t>Ciudad de México</t>
        </is>
      </c>
    </row>
    <row r="294">
      <c r="A294" t="inlineStr">
        <is>
          <t>EMP-0293</t>
        </is>
      </c>
      <c r="B294" t="inlineStr">
        <is>
          <t>Andrea</t>
        </is>
      </c>
      <c r="C294" t="inlineStr">
        <is>
          <t>Alonso</t>
        </is>
      </c>
      <c r="D294" t="inlineStr">
        <is>
          <t>Atención al cliente</t>
        </is>
      </c>
      <c r="E294" t="inlineStr">
        <is>
          <t>Account support</t>
        </is>
      </c>
      <c r="F294" t="inlineStr">
        <is>
          <t>Generación de noticias</t>
        </is>
      </c>
      <c r="G294" t="inlineStr">
        <is>
          <t>Indefinido</t>
        </is>
      </c>
      <c r="H294" s="2" t="n">
        <v>44381</v>
      </c>
      <c r="I294" s="2" t="n"/>
      <c r="J294" t="inlineStr">
        <is>
          <t>Activo</t>
        </is>
      </c>
      <c r="K294" s="3" t="n">
        <v>0.5</v>
      </c>
      <c r="L294" s="4" t="n">
        <v>22424</v>
      </c>
      <c r="M294" s="3" t="n">
        <v>0.1</v>
      </c>
      <c r="N294" s="3" t="n">
        <v>0.295</v>
      </c>
      <c r="O294" s="4">
        <f>ROUND(L294*K294*(1+M294+N294),2)</f>
        <v/>
      </c>
      <c r="P294" t="inlineStr">
        <is>
          <t>Fernando Ruiz</t>
        </is>
      </c>
      <c r="Q294" t="inlineStr">
        <is>
          <t>México</t>
        </is>
      </c>
      <c r="R294" t="inlineStr">
        <is>
          <t>Ciudad de México</t>
        </is>
      </c>
    </row>
    <row r="295">
      <c r="A295" t="inlineStr">
        <is>
          <t>EMP-0294</t>
        </is>
      </c>
      <c r="B295" t="inlineStr">
        <is>
          <t>Laura</t>
        </is>
      </c>
      <c r="C295" t="inlineStr">
        <is>
          <t>Moreno</t>
        </is>
      </c>
      <c r="D295" t="inlineStr">
        <is>
          <t>Tecnología</t>
        </is>
      </c>
      <c r="E295" t="inlineStr">
        <is>
          <t>Administrador intranet</t>
        </is>
      </c>
      <c r="F295" t="inlineStr">
        <is>
          <t>Anuncios RRHH</t>
        </is>
      </c>
      <c r="G295" t="inlineStr">
        <is>
          <t>Indefinido</t>
        </is>
      </c>
      <c r="H295" s="2" t="n">
        <v>43406</v>
      </c>
      <c r="I295" s="2" t="n"/>
      <c r="J295" t="inlineStr">
        <is>
          <t>Activo</t>
        </is>
      </c>
      <c r="K295" s="3" t="n">
        <v>0.75</v>
      </c>
      <c r="L295" s="4" t="n">
        <v>54296</v>
      </c>
      <c r="M295" s="3" t="n">
        <v>0</v>
      </c>
      <c r="N295" s="3" t="n">
        <v>0.303</v>
      </c>
      <c r="O295" s="4">
        <f>ROUND(L295*K295*(1+M295+N295),2)</f>
        <v/>
      </c>
      <c r="P295" t="inlineStr">
        <is>
          <t>Patricia Romero</t>
        </is>
      </c>
      <c r="Q295" t="inlineStr">
        <is>
          <t>México</t>
        </is>
      </c>
      <c r="R295" t="inlineStr">
        <is>
          <t>Ciudad de México</t>
        </is>
      </c>
    </row>
    <row r="296">
      <c r="A296" t="inlineStr">
        <is>
          <t>EMP-0295</t>
        </is>
      </c>
      <c r="B296" t="inlineStr">
        <is>
          <t>Lucía</t>
        </is>
      </c>
      <c r="C296" t="inlineStr">
        <is>
          <t>Álvarez</t>
        </is>
      </c>
      <c r="D296" t="inlineStr">
        <is>
          <t>Atención al cliente</t>
        </is>
      </c>
      <c r="E296" t="inlineStr">
        <is>
          <t>Account support</t>
        </is>
      </c>
      <c r="F296" t="inlineStr">
        <is>
          <t>Generación de noticias</t>
        </is>
      </c>
      <c r="G296" t="inlineStr">
        <is>
          <t>Indefinido</t>
        </is>
      </c>
      <c r="H296" s="2" t="n">
        <v>43735</v>
      </c>
      <c r="I296" s="2" t="n">
        <v>44575</v>
      </c>
      <c r="J296" t="inlineStr">
        <is>
          <t>Baja</t>
        </is>
      </c>
      <c r="K296" s="3" t="n">
        <v>1</v>
      </c>
      <c r="L296" s="4" t="n">
        <v>23666</v>
      </c>
      <c r="M296" s="3" t="n">
        <v>0.12</v>
      </c>
      <c r="N296" s="3" t="n">
        <v>0.336</v>
      </c>
      <c r="O296" s="4">
        <f>ROUND(L296*K296*(1+M296+N296),2)</f>
        <v/>
      </c>
      <c r="P296" t="inlineStr">
        <is>
          <t>Jorge Molina</t>
        </is>
      </c>
      <c r="Q296" t="inlineStr">
        <is>
          <t>España</t>
        </is>
      </c>
      <c r="R296" t="inlineStr">
        <is>
          <t>Valencia</t>
        </is>
      </c>
    </row>
    <row r="297">
      <c r="A297" t="inlineStr">
        <is>
          <t>EMP-0296</t>
        </is>
      </c>
      <c r="B297" t="inlineStr">
        <is>
          <t>Sofía</t>
        </is>
      </c>
      <c r="C297" t="inlineStr">
        <is>
          <t>Blanco</t>
        </is>
      </c>
      <c r="D297" t="inlineStr">
        <is>
          <t>Comercial</t>
        </is>
      </c>
      <c r="E297" t="inlineStr">
        <is>
          <t>Sales manager</t>
        </is>
      </c>
      <c r="F297" t="inlineStr">
        <is>
          <t>Anuncios internet</t>
        </is>
      </c>
      <c r="G297" t="inlineStr">
        <is>
          <t>Indefinido</t>
        </is>
      </c>
      <c r="H297" s="2" t="n">
        <v>45253</v>
      </c>
      <c r="I297" s="2" t="n"/>
      <c r="J297" t="inlineStr">
        <is>
          <t>Activo</t>
        </is>
      </c>
      <c r="K297" s="3" t="n">
        <v>0.75</v>
      </c>
      <c r="L297" s="4" t="n">
        <v>43617</v>
      </c>
      <c r="M297" s="3" t="n">
        <v>0.12</v>
      </c>
      <c r="N297" s="3" t="n">
        <v>0.31</v>
      </c>
      <c r="O297" s="4">
        <f>ROUND(L297*K297*(1+M297+N297),2)</f>
        <v/>
      </c>
      <c r="P297" t="inlineStr">
        <is>
          <t>Silvia Navarro</t>
        </is>
      </c>
      <c r="Q297" t="inlineStr">
        <is>
          <t>México</t>
        </is>
      </c>
      <c r="R297" t="inlineStr">
        <is>
          <t>Guadalajara</t>
        </is>
      </c>
    </row>
    <row r="298">
      <c r="A298" t="inlineStr">
        <is>
          <t>EMP-0297</t>
        </is>
      </c>
      <c r="B298" t="inlineStr">
        <is>
          <t>Miguel</t>
        </is>
      </c>
      <c r="C298" t="inlineStr">
        <is>
          <t>Delgado</t>
        </is>
      </c>
      <c r="D298" t="inlineStr">
        <is>
          <t>Atención al cliente</t>
        </is>
      </c>
      <c r="E298" t="inlineStr">
        <is>
          <t>Account support</t>
        </is>
      </c>
      <c r="F298" t="inlineStr">
        <is>
          <t>Anuncios prensa</t>
        </is>
      </c>
      <c r="G298" t="inlineStr">
        <is>
          <t>Indefinido</t>
        </is>
      </c>
      <c r="H298" s="2" t="n">
        <v>44578</v>
      </c>
      <c r="I298" s="2" t="n"/>
      <c r="J298" t="inlineStr">
        <is>
          <t>Activo</t>
        </is>
      </c>
      <c r="K298" s="3" t="n">
        <v>1</v>
      </c>
      <c r="L298" s="4" t="n">
        <v>39383</v>
      </c>
      <c r="M298" s="3" t="n">
        <v>0.05</v>
      </c>
      <c r="N298" s="3" t="n">
        <v>0.34</v>
      </c>
      <c r="O298" s="4">
        <f>ROUND(L298*K298*(1+M298+N298),2)</f>
        <v/>
      </c>
      <c r="P298" t="inlineStr">
        <is>
          <t>Ana Torres</t>
        </is>
      </c>
      <c r="Q298" t="inlineStr">
        <is>
          <t>España</t>
        </is>
      </c>
      <c r="R298" t="inlineStr">
        <is>
          <t>Barcelona</t>
        </is>
      </c>
    </row>
    <row r="299">
      <c r="A299" t="inlineStr">
        <is>
          <t>EMP-0298</t>
        </is>
      </c>
      <c r="B299" t="inlineStr">
        <is>
          <t>Marta</t>
        </is>
      </c>
      <c r="C299" t="inlineStr">
        <is>
          <t>Delgado</t>
        </is>
      </c>
      <c r="D299" t="inlineStr">
        <is>
          <t>Redacción</t>
        </is>
      </c>
      <c r="E299" t="inlineStr">
        <is>
          <t>Editor</t>
        </is>
      </c>
      <c r="F299" t="inlineStr">
        <is>
          <t>Anuncios RRHH</t>
        </is>
      </c>
      <c r="G299" t="inlineStr">
        <is>
          <t>Temporal</t>
        </is>
      </c>
      <c r="H299" s="2" t="n">
        <v>44663</v>
      </c>
      <c r="I299" s="2" t="n"/>
      <c r="J299" t="inlineStr">
        <is>
          <t>Activo</t>
        </is>
      </c>
      <c r="K299" s="3" t="n">
        <v>0.5</v>
      </c>
      <c r="L299" s="4" t="n">
        <v>34644</v>
      </c>
      <c r="M299" s="3" t="n">
        <v>0.03</v>
      </c>
      <c r="N299" s="3" t="n">
        <v>0.312</v>
      </c>
      <c r="O299" s="4">
        <f>ROUND(L299*K299*(1+M299+N299),2)</f>
        <v/>
      </c>
      <c r="P299" t="inlineStr">
        <is>
          <t>Ana Torres</t>
        </is>
      </c>
      <c r="Q299" t="inlineStr">
        <is>
          <t>España</t>
        </is>
      </c>
      <c r="R299" t="inlineStr">
        <is>
          <t>Barcelona</t>
        </is>
      </c>
    </row>
    <row r="300">
      <c r="A300" t="inlineStr">
        <is>
          <t>EMP-0299</t>
        </is>
      </c>
      <c r="B300" t="inlineStr">
        <is>
          <t>Iván</t>
        </is>
      </c>
      <c r="C300" t="inlineStr">
        <is>
          <t>Martínez</t>
        </is>
      </c>
      <c r="D300" t="inlineStr">
        <is>
          <t>Atención al cliente</t>
        </is>
      </c>
      <c r="E300" t="inlineStr">
        <is>
          <t>Account support</t>
        </is>
      </c>
      <c r="F300" t="inlineStr">
        <is>
          <t>Anuncios RRHH</t>
        </is>
      </c>
      <c r="G300" t="inlineStr">
        <is>
          <t>Indefinido</t>
        </is>
      </c>
      <c r="H300" s="2" t="n">
        <v>43889</v>
      </c>
      <c r="I300" s="2" t="n"/>
      <c r="J300" t="inlineStr">
        <is>
          <t>Activo</t>
        </is>
      </c>
      <c r="K300" s="3" t="n">
        <v>0.5</v>
      </c>
      <c r="L300" s="4" t="n">
        <v>25144</v>
      </c>
      <c r="M300" s="3" t="n">
        <v>0</v>
      </c>
      <c r="N300" s="3" t="n">
        <v>0.338</v>
      </c>
      <c r="O300" s="4">
        <f>ROUND(L300*K300*(1+M300+N300),2)</f>
        <v/>
      </c>
      <c r="P300" t="inlineStr">
        <is>
          <t>Silvia Navarro</t>
        </is>
      </c>
      <c r="Q300" t="inlineStr">
        <is>
          <t>España</t>
        </is>
      </c>
      <c r="R300" t="inlineStr">
        <is>
          <t>Sevilla</t>
        </is>
      </c>
    </row>
    <row r="301">
      <c r="A301" t="inlineStr">
        <is>
          <t>EMP-0300</t>
        </is>
      </c>
      <c r="B301" t="inlineStr">
        <is>
          <t>Víctor</t>
        </is>
      </c>
      <c r="C301" t="inlineStr">
        <is>
          <t>Morales</t>
        </is>
      </c>
      <c r="D301" t="inlineStr">
        <is>
          <t>Operaciones</t>
        </is>
      </c>
      <c r="E301" t="inlineStr">
        <is>
          <t>Project manager</t>
        </is>
      </c>
      <c r="F301" t="inlineStr">
        <is>
          <t>Traducciones</t>
        </is>
      </c>
      <c r="G301" t="inlineStr">
        <is>
          <t>Indefinido</t>
        </is>
      </c>
      <c r="H301" s="2" t="n">
        <v>45303</v>
      </c>
      <c r="I301" s="2" t="n"/>
      <c r="J301" t="inlineStr">
        <is>
          <t>Activo</t>
        </is>
      </c>
      <c r="K301" s="3" t="n">
        <v>1</v>
      </c>
      <c r="L301" s="4" t="n">
        <v>43186</v>
      </c>
      <c r="M301" s="3" t="n">
        <v>0.12</v>
      </c>
      <c r="N301" s="3" t="n">
        <v>0.336</v>
      </c>
      <c r="O301" s="4">
        <f>ROUND(L301*K301*(1+M301+N301),2)</f>
        <v/>
      </c>
      <c r="P301" t="inlineStr">
        <is>
          <t>Jorge Molina</t>
        </is>
      </c>
      <c r="Q301" t="inlineStr">
        <is>
          <t>España</t>
        </is>
      </c>
      <c r="R301" t="inlineStr">
        <is>
          <t>Barcelona</t>
        </is>
      </c>
    </row>
    <row r="302">
      <c r="A302" t="inlineStr">
        <is>
          <t>EMP-0301</t>
        </is>
      </c>
      <c r="B302" t="inlineStr">
        <is>
          <t>Marta</t>
        </is>
      </c>
      <c r="C302" t="inlineStr">
        <is>
          <t>López</t>
        </is>
      </c>
      <c r="D302" t="inlineStr">
        <is>
          <t>Traducción</t>
        </is>
      </c>
      <c r="E302" t="inlineStr">
        <is>
          <t>Revisor lingüístico</t>
        </is>
      </c>
      <c r="F302" t="inlineStr">
        <is>
          <t>Mantenimiento web</t>
        </is>
      </c>
      <c r="G302" t="inlineStr">
        <is>
          <t>Indefinido</t>
        </is>
      </c>
      <c r="H302" s="2" t="n">
        <v>43830</v>
      </c>
      <c r="I302" s="2" t="n"/>
      <c r="J302" t="inlineStr">
        <is>
          <t>Activo</t>
        </is>
      </c>
      <c r="K302" s="3" t="n">
        <v>1</v>
      </c>
      <c r="L302" s="4" t="n">
        <v>24308</v>
      </c>
      <c r="M302" s="3" t="n">
        <v>0.08</v>
      </c>
      <c r="N302" s="3" t="n">
        <v>0.329</v>
      </c>
      <c r="O302" s="4">
        <f>ROUND(L302*K302*(1+M302+N302),2)</f>
        <v/>
      </c>
      <c r="P302" t="inlineStr">
        <is>
          <t>Fernando Ruiz</t>
        </is>
      </c>
      <c r="Q302" t="inlineStr">
        <is>
          <t>España</t>
        </is>
      </c>
      <c r="R302" t="inlineStr">
        <is>
          <t>Valencia</t>
        </is>
      </c>
    </row>
    <row r="303">
      <c r="A303" t="inlineStr">
        <is>
          <t>EMP-0302</t>
        </is>
      </c>
      <c r="B303" t="inlineStr">
        <is>
          <t>Alicia</t>
        </is>
      </c>
      <c r="C303" t="inlineStr">
        <is>
          <t>García</t>
        </is>
      </c>
      <c r="D303" t="inlineStr">
        <is>
          <t>RRHH</t>
        </is>
      </c>
      <c r="E303" t="inlineStr">
        <is>
          <t>Especialista RRHH</t>
        </is>
      </c>
      <c r="F303" t="inlineStr">
        <is>
          <t>Anuncios internet</t>
        </is>
      </c>
      <c r="G303" t="inlineStr">
        <is>
          <t>Indefinido</t>
        </is>
      </c>
      <c r="H303" s="2" t="n">
        <v>43585</v>
      </c>
      <c r="I303" s="2" t="n"/>
      <c r="J303" t="inlineStr">
        <is>
          <t>Activo</t>
        </is>
      </c>
      <c r="K303" s="3" t="n">
        <v>1</v>
      </c>
      <c r="L303" s="4" t="n">
        <v>24072</v>
      </c>
      <c r="M303" s="3" t="n">
        <v>0.12</v>
      </c>
      <c r="N303" s="3" t="n">
        <v>0.325</v>
      </c>
      <c r="O303" s="4">
        <f>ROUND(L303*K303*(1+M303+N303),2)</f>
        <v/>
      </c>
      <c r="P303" t="inlineStr">
        <is>
          <t>Jorge Molina</t>
        </is>
      </c>
      <c r="Q303" t="inlineStr">
        <is>
          <t>Portugal</t>
        </is>
      </c>
      <c r="R303" t="inlineStr">
        <is>
          <t>Oporto</t>
        </is>
      </c>
    </row>
    <row r="304">
      <c r="A304" t="inlineStr">
        <is>
          <t>EMP-0303</t>
        </is>
      </c>
      <c r="B304" t="inlineStr">
        <is>
          <t>Claudia</t>
        </is>
      </c>
      <c r="C304" t="inlineStr">
        <is>
          <t>Blanco</t>
        </is>
      </c>
      <c r="D304" t="inlineStr">
        <is>
          <t>Redacción</t>
        </is>
      </c>
      <c r="E304" t="inlineStr">
        <is>
          <t>Redactor</t>
        </is>
      </c>
      <c r="F304" t="inlineStr">
        <is>
          <t>Anuncios RRHH</t>
        </is>
      </c>
      <c r="G304" t="inlineStr">
        <is>
          <t>Indefinido</t>
        </is>
      </c>
      <c r="H304" s="2" t="n">
        <v>45585</v>
      </c>
      <c r="I304" s="2" t="n"/>
      <c r="J304" t="inlineStr">
        <is>
          <t>Activo</t>
        </is>
      </c>
      <c r="K304" s="3" t="n">
        <v>1</v>
      </c>
      <c r="L304" s="4" t="n">
        <v>34498</v>
      </c>
      <c r="M304" s="3" t="n">
        <v>0.05</v>
      </c>
      <c r="N304" s="3" t="n">
        <v>0.329</v>
      </c>
      <c r="O304" s="4">
        <f>ROUND(L304*K304*(1+M304+N304),2)</f>
        <v/>
      </c>
      <c r="P304" t="inlineStr">
        <is>
          <t>Fernando Ruiz</t>
        </is>
      </c>
      <c r="Q304" t="inlineStr">
        <is>
          <t>Colombia</t>
        </is>
      </c>
      <c r="R304" t="inlineStr">
        <is>
          <t>Bogotá</t>
        </is>
      </c>
    </row>
    <row r="305">
      <c r="A305" t="inlineStr">
        <is>
          <t>EMP-0304</t>
        </is>
      </c>
      <c r="B305" t="inlineStr">
        <is>
          <t>Eva</t>
        </is>
      </c>
      <c r="C305" t="inlineStr">
        <is>
          <t>Moreno</t>
        </is>
      </c>
      <c r="D305" t="inlineStr">
        <is>
          <t>Traducción</t>
        </is>
      </c>
      <c r="E305" t="inlineStr">
        <is>
          <t>Traductor</t>
        </is>
      </c>
      <c r="F305" t="inlineStr">
        <is>
          <t>Anuncios TV</t>
        </is>
      </c>
      <c r="G305" t="inlineStr">
        <is>
          <t>Freelance</t>
        </is>
      </c>
      <c r="H305" s="2" t="n">
        <v>43691</v>
      </c>
      <c r="I305" s="2" t="n"/>
      <c r="J305" t="inlineStr">
        <is>
          <t>Activo</t>
        </is>
      </c>
      <c r="K305" s="3" t="n">
        <v>1</v>
      </c>
      <c r="L305" s="4" t="n">
        <v>22365</v>
      </c>
      <c r="M305" s="3" t="n">
        <v>0.08</v>
      </c>
      <c r="N305" s="3" t="n">
        <v>0.332</v>
      </c>
      <c r="O305" s="4">
        <f>ROUND(L305*K305*(1+M305+N305),2)</f>
        <v/>
      </c>
      <c r="P305" t="inlineStr">
        <is>
          <t>Ana Torres</t>
        </is>
      </c>
      <c r="Q305" t="inlineStr">
        <is>
          <t>España</t>
        </is>
      </c>
      <c r="R305" t="inlineStr">
        <is>
          <t>Sevilla</t>
        </is>
      </c>
    </row>
    <row r="306">
      <c r="A306" t="inlineStr">
        <is>
          <t>EMP-0305</t>
        </is>
      </c>
      <c r="B306" t="inlineStr">
        <is>
          <t>Eva</t>
        </is>
      </c>
      <c r="C306" t="inlineStr">
        <is>
          <t>Ramos</t>
        </is>
      </c>
      <c r="D306" t="inlineStr">
        <is>
          <t>Operaciones</t>
        </is>
      </c>
      <c r="E306" t="inlineStr">
        <is>
          <t>Project manager</t>
        </is>
      </c>
      <c r="F306" t="inlineStr">
        <is>
          <t>Mantenimiento web</t>
        </is>
      </c>
      <c r="G306" t="inlineStr">
        <is>
          <t>Freelance</t>
        </is>
      </c>
      <c r="H306" s="2" t="n">
        <v>44349</v>
      </c>
      <c r="I306" s="2" t="n"/>
      <c r="J306" t="inlineStr">
        <is>
          <t>Activo</t>
        </is>
      </c>
      <c r="K306" s="3" t="n">
        <v>1</v>
      </c>
      <c r="L306" s="4" t="n">
        <v>28938</v>
      </c>
      <c r="M306" s="3" t="n">
        <v>0.05</v>
      </c>
      <c r="N306" s="3" t="n">
        <v>0.334</v>
      </c>
      <c r="O306" s="4">
        <f>ROUND(L306*K306*(1+M306+N306),2)</f>
        <v/>
      </c>
      <c r="P306" t="inlineStr">
        <is>
          <t>Luis Gómez</t>
        </is>
      </c>
      <c r="Q306" t="inlineStr">
        <is>
          <t>España</t>
        </is>
      </c>
      <c r="R306" t="inlineStr">
        <is>
          <t>Sevilla</t>
        </is>
      </c>
    </row>
    <row r="307">
      <c r="A307" t="inlineStr">
        <is>
          <t>EMP-0306</t>
        </is>
      </c>
      <c r="B307" t="inlineStr">
        <is>
          <t>Laura</t>
        </is>
      </c>
      <c r="C307" t="inlineStr">
        <is>
          <t>Sánchez</t>
        </is>
      </c>
      <c r="D307" t="inlineStr">
        <is>
          <t>Traducción</t>
        </is>
      </c>
      <c r="E307" t="inlineStr">
        <is>
          <t>Revisor lingüístico</t>
        </is>
      </c>
      <c r="F307" t="inlineStr">
        <is>
          <t>Publicación de noticias</t>
        </is>
      </c>
      <c r="G307" t="inlineStr">
        <is>
          <t>Indefinido</t>
        </is>
      </c>
      <c r="H307" s="2" t="n">
        <v>45424</v>
      </c>
      <c r="I307" s="2" t="n"/>
      <c r="J307" t="inlineStr">
        <is>
          <t>Activo</t>
        </is>
      </c>
      <c r="K307" s="3" t="n">
        <v>1</v>
      </c>
      <c r="L307" s="4" t="n">
        <v>37114</v>
      </c>
      <c r="M307" s="3" t="n">
        <v>0.1</v>
      </c>
      <c r="N307" s="3" t="n">
        <v>0.313</v>
      </c>
      <c r="O307" s="4">
        <f>ROUND(L307*K307*(1+M307+N307),2)</f>
        <v/>
      </c>
      <c r="P307" t="inlineStr">
        <is>
          <t>Jorge Molina</t>
        </is>
      </c>
      <c r="Q307" t="inlineStr">
        <is>
          <t>España</t>
        </is>
      </c>
      <c r="R307" t="inlineStr">
        <is>
          <t>Valencia</t>
        </is>
      </c>
    </row>
    <row r="308">
      <c r="A308" t="inlineStr">
        <is>
          <t>EMP-0307</t>
        </is>
      </c>
      <c r="B308" t="inlineStr">
        <is>
          <t>Marcos</t>
        </is>
      </c>
      <c r="C308" t="inlineStr">
        <is>
          <t>Romero</t>
        </is>
      </c>
      <c r="D308" t="inlineStr">
        <is>
          <t>Redacción</t>
        </is>
      </c>
      <c r="E308" t="inlineStr">
        <is>
          <t>Editor</t>
        </is>
      </c>
      <c r="F308" t="inlineStr">
        <is>
          <t>Generación de noticias</t>
        </is>
      </c>
      <c r="G308" t="inlineStr">
        <is>
          <t>Indefinido</t>
        </is>
      </c>
      <c r="H308" s="2" t="n">
        <v>44061</v>
      </c>
      <c r="I308" s="2" t="n"/>
      <c r="J308" t="inlineStr">
        <is>
          <t>Activo</t>
        </is>
      </c>
      <c r="K308" s="3" t="n">
        <v>1</v>
      </c>
      <c r="L308" s="4" t="n">
        <v>24287</v>
      </c>
      <c r="M308" s="3" t="n">
        <v>0</v>
      </c>
      <c r="N308" s="3" t="n">
        <v>0.299</v>
      </c>
      <c r="O308" s="4">
        <f>ROUND(L308*K308*(1+M308+N308),2)</f>
        <v/>
      </c>
      <c r="P308" t="inlineStr">
        <is>
          <t>Patricia Romero</t>
        </is>
      </c>
      <c r="Q308" t="inlineStr">
        <is>
          <t>España</t>
        </is>
      </c>
      <c r="R308" t="inlineStr">
        <is>
          <t>Sevilla</t>
        </is>
      </c>
    </row>
    <row r="309">
      <c r="A309" t="inlineStr">
        <is>
          <t>EMP-0308</t>
        </is>
      </c>
      <c r="B309" t="inlineStr">
        <is>
          <t>Alicia</t>
        </is>
      </c>
      <c r="C309" t="inlineStr">
        <is>
          <t>Navarro</t>
        </is>
      </c>
      <c r="D309" t="inlineStr">
        <is>
          <t>Comercial</t>
        </is>
      </c>
      <c r="E309" t="inlineStr">
        <is>
          <t>Sales manager</t>
        </is>
      </c>
      <c r="F309" t="inlineStr">
        <is>
          <t>Publicación de noticias</t>
        </is>
      </c>
      <c r="G309" t="inlineStr">
        <is>
          <t>Indefinido</t>
        </is>
      </c>
      <c r="H309" s="2" t="n">
        <v>44383</v>
      </c>
      <c r="I309" s="2" t="n"/>
      <c r="J309" t="inlineStr">
        <is>
          <t>Activo</t>
        </is>
      </c>
      <c r="K309" s="3" t="n">
        <v>0.75</v>
      </c>
      <c r="L309" s="4" t="n">
        <v>55397</v>
      </c>
      <c r="M309" s="3" t="n">
        <v>0.1</v>
      </c>
      <c r="N309" s="3" t="n">
        <v>0.306</v>
      </c>
      <c r="O309" s="4">
        <f>ROUND(L309*K309*(1+M309+N309),2)</f>
        <v/>
      </c>
      <c r="P309" t="inlineStr">
        <is>
          <t>Luis Gómez</t>
        </is>
      </c>
      <c r="Q309" t="inlineStr">
        <is>
          <t>España</t>
        </is>
      </c>
      <c r="R309" t="inlineStr">
        <is>
          <t>Valencia</t>
        </is>
      </c>
    </row>
    <row r="310">
      <c r="A310" t="inlineStr">
        <is>
          <t>EMP-0309</t>
        </is>
      </c>
      <c r="B310" t="inlineStr">
        <is>
          <t>Hugo</t>
        </is>
      </c>
      <c r="C310" t="inlineStr">
        <is>
          <t>Domínguez</t>
        </is>
      </c>
      <c r="D310" t="inlineStr">
        <is>
          <t>Marketing</t>
        </is>
      </c>
      <c r="E310" t="inlineStr">
        <is>
          <t>Campaign manager</t>
        </is>
      </c>
      <c r="F310" t="inlineStr">
        <is>
          <t>Anuncios internet</t>
        </is>
      </c>
      <c r="G310" t="inlineStr">
        <is>
          <t>Indefinido</t>
        </is>
      </c>
      <c r="H310" s="2" t="n">
        <v>43820</v>
      </c>
      <c r="I310" s="2" t="n"/>
      <c r="J310" t="inlineStr">
        <is>
          <t>Activo</t>
        </is>
      </c>
      <c r="K310" s="3" t="n">
        <v>0.5</v>
      </c>
      <c r="L310" s="4" t="n">
        <v>55881</v>
      </c>
      <c r="M310" s="3" t="n">
        <v>0.12</v>
      </c>
      <c r="N310" s="3" t="n">
        <v>0.33</v>
      </c>
      <c r="O310" s="4">
        <f>ROUND(L310*K310*(1+M310+N310),2)</f>
        <v/>
      </c>
      <c r="P310" t="inlineStr">
        <is>
          <t>Luis Gómez</t>
        </is>
      </c>
      <c r="Q310" t="inlineStr">
        <is>
          <t>España</t>
        </is>
      </c>
      <c r="R310" t="inlineStr">
        <is>
          <t>Valencia</t>
        </is>
      </c>
    </row>
    <row r="311">
      <c r="A311" t="inlineStr">
        <is>
          <t>EMP-0310</t>
        </is>
      </c>
      <c r="B311" t="inlineStr">
        <is>
          <t>Noelia</t>
        </is>
      </c>
      <c r="C311" t="inlineStr">
        <is>
          <t>Ortega</t>
        </is>
      </c>
      <c r="D311" t="inlineStr">
        <is>
          <t>Comercial</t>
        </is>
      </c>
      <c r="E311" t="inlineStr">
        <is>
          <t>Business developer</t>
        </is>
      </c>
      <c r="F311" t="inlineStr">
        <is>
          <t>Traducciones</t>
        </is>
      </c>
      <c r="G311" t="inlineStr">
        <is>
          <t>Indefinido</t>
        </is>
      </c>
      <c r="H311" s="2" t="n">
        <v>45484</v>
      </c>
      <c r="I311" s="2" t="n"/>
      <c r="J311" t="inlineStr">
        <is>
          <t>Activo</t>
        </is>
      </c>
      <c r="K311" s="3" t="n">
        <v>1</v>
      </c>
      <c r="L311" s="4" t="n">
        <v>40395</v>
      </c>
      <c r="M311" s="3" t="n">
        <v>0</v>
      </c>
      <c r="N311" s="3" t="n">
        <v>0.313</v>
      </c>
      <c r="O311" s="4">
        <f>ROUND(L311*K311*(1+M311+N311),2)</f>
        <v/>
      </c>
      <c r="P311" t="inlineStr">
        <is>
          <t>Silvia Navarro</t>
        </is>
      </c>
      <c r="Q311" t="inlineStr">
        <is>
          <t>México</t>
        </is>
      </c>
      <c r="R311" t="inlineStr">
        <is>
          <t>Ciudad de México</t>
        </is>
      </c>
    </row>
    <row r="312">
      <c r="A312" t="inlineStr">
        <is>
          <t>EMP-0311</t>
        </is>
      </c>
      <c r="B312" t="inlineStr">
        <is>
          <t>Joel</t>
        </is>
      </c>
      <c r="C312" t="inlineStr">
        <is>
          <t>Suárez</t>
        </is>
      </c>
      <c r="D312" t="inlineStr">
        <is>
          <t>Finanzas</t>
        </is>
      </c>
      <c r="E312" t="inlineStr">
        <is>
          <t>Analista financiero</t>
        </is>
      </c>
      <c r="F312" t="inlineStr">
        <is>
          <t>Publicación de noticias</t>
        </is>
      </c>
      <c r="G312" t="inlineStr">
        <is>
          <t>Temporal</t>
        </is>
      </c>
      <c r="H312" s="2" t="n">
        <v>43649</v>
      </c>
      <c r="I312" s="2" t="n"/>
      <c r="J312" t="inlineStr">
        <is>
          <t>Activo</t>
        </is>
      </c>
      <c r="K312" s="3" t="n">
        <v>1</v>
      </c>
      <c r="L312" s="4" t="n">
        <v>24967</v>
      </c>
      <c r="M312" s="3" t="n">
        <v>0.05</v>
      </c>
      <c r="N312" s="3" t="n">
        <v>0.302</v>
      </c>
      <c r="O312" s="4">
        <f>ROUND(L312*K312*(1+M312+N312),2)</f>
        <v/>
      </c>
      <c r="P312" t="inlineStr">
        <is>
          <t>Jorge Molina</t>
        </is>
      </c>
      <c r="Q312" t="inlineStr">
        <is>
          <t>España</t>
        </is>
      </c>
      <c r="R312" t="inlineStr">
        <is>
          <t>Barcelona</t>
        </is>
      </c>
    </row>
    <row r="313">
      <c r="A313" t="inlineStr">
        <is>
          <t>EMP-0312</t>
        </is>
      </c>
      <c r="B313" t="inlineStr">
        <is>
          <t>Sara</t>
        </is>
      </c>
      <c r="C313" t="inlineStr">
        <is>
          <t>Gómez</t>
        </is>
      </c>
      <c r="D313" t="inlineStr">
        <is>
          <t>Tecnología</t>
        </is>
      </c>
      <c r="E313" t="inlineStr">
        <is>
          <t>Desarrollador web</t>
        </is>
      </c>
      <c r="F313" t="inlineStr">
        <is>
          <t>Publicación de noticias</t>
        </is>
      </c>
      <c r="G313" t="inlineStr">
        <is>
          <t>Indefinido</t>
        </is>
      </c>
      <c r="H313" s="2" t="n">
        <v>45418</v>
      </c>
      <c r="I313" s="2" t="n"/>
      <c r="J313" t="inlineStr">
        <is>
          <t>Activo</t>
        </is>
      </c>
      <c r="K313" s="3" t="n">
        <v>0.75</v>
      </c>
      <c r="L313" s="4" t="n">
        <v>56110</v>
      </c>
      <c r="M313" s="3" t="n">
        <v>0.05</v>
      </c>
      <c r="N313" s="3" t="n">
        <v>0.336</v>
      </c>
      <c r="O313" s="4">
        <f>ROUND(L313*K313*(1+M313+N313),2)</f>
        <v/>
      </c>
      <c r="P313" t="inlineStr">
        <is>
          <t>Luis Gómez</t>
        </is>
      </c>
      <c r="Q313" t="inlineStr">
        <is>
          <t>México</t>
        </is>
      </c>
      <c r="R313" t="inlineStr">
        <is>
          <t>Ciudad de México</t>
        </is>
      </c>
    </row>
    <row r="314">
      <c r="A314" t="inlineStr">
        <is>
          <t>EMP-0313</t>
        </is>
      </c>
      <c r="B314" t="inlineStr">
        <is>
          <t>Irene</t>
        </is>
      </c>
      <c r="C314" t="inlineStr">
        <is>
          <t>Martínez</t>
        </is>
      </c>
      <c r="D314" t="inlineStr">
        <is>
          <t>Finanzas</t>
        </is>
      </c>
      <c r="E314" t="inlineStr">
        <is>
          <t>Analista financiero</t>
        </is>
      </c>
      <c r="F314" t="inlineStr">
        <is>
          <t>Mantenimiento intranets</t>
        </is>
      </c>
      <c r="G314" t="inlineStr">
        <is>
          <t>Indefinido</t>
        </is>
      </c>
      <c r="H314" s="2" t="n">
        <v>45222</v>
      </c>
      <c r="I314" s="2" t="n"/>
      <c r="J314" t="inlineStr">
        <is>
          <t>Activo</t>
        </is>
      </c>
      <c r="K314" s="3" t="n">
        <v>1</v>
      </c>
      <c r="L314" s="4" t="n">
        <v>34717</v>
      </c>
      <c r="M314" s="3" t="n">
        <v>0.05</v>
      </c>
      <c r="N314" s="3" t="n">
        <v>0.335</v>
      </c>
      <c r="O314" s="4">
        <f>ROUND(L314*K314*(1+M314+N314),2)</f>
        <v/>
      </c>
      <c r="P314" t="inlineStr">
        <is>
          <t>Ana Torres</t>
        </is>
      </c>
      <c r="Q314" t="inlineStr">
        <is>
          <t>España</t>
        </is>
      </c>
      <c r="R314" t="inlineStr">
        <is>
          <t>Valencia</t>
        </is>
      </c>
    </row>
    <row r="315">
      <c r="A315" t="inlineStr">
        <is>
          <t>EMP-0314</t>
        </is>
      </c>
      <c r="B315" t="inlineStr">
        <is>
          <t>Natalia</t>
        </is>
      </c>
      <c r="C315" t="inlineStr">
        <is>
          <t>Gil</t>
        </is>
      </c>
      <c r="D315" t="inlineStr">
        <is>
          <t>Marketing</t>
        </is>
      </c>
      <c r="E315" t="inlineStr">
        <is>
          <t>Especialista SEM</t>
        </is>
      </c>
      <c r="F315" t="inlineStr">
        <is>
          <t>Traducciones</t>
        </is>
      </c>
      <c r="G315" t="inlineStr">
        <is>
          <t>Indefinido</t>
        </is>
      </c>
      <c r="H315" s="2" t="n">
        <v>43813</v>
      </c>
      <c r="I315" s="2" t="n"/>
      <c r="J315" t="inlineStr">
        <is>
          <t>Activo</t>
        </is>
      </c>
      <c r="K315" s="3" t="n">
        <v>1</v>
      </c>
      <c r="L315" s="4" t="n">
        <v>42784</v>
      </c>
      <c r="M315" s="3" t="n">
        <v>0.1</v>
      </c>
      <c r="N315" s="3" t="n">
        <v>0.334</v>
      </c>
      <c r="O315" s="4">
        <f>ROUND(L315*K315*(1+M315+N315),2)</f>
        <v/>
      </c>
      <c r="P315" t="inlineStr">
        <is>
          <t>Silvia Navarro</t>
        </is>
      </c>
      <c r="Q315" t="inlineStr">
        <is>
          <t>México</t>
        </is>
      </c>
      <c r="R315" t="inlineStr">
        <is>
          <t>Guadalajara</t>
        </is>
      </c>
    </row>
    <row r="316">
      <c r="A316" t="inlineStr">
        <is>
          <t>EMP-0315</t>
        </is>
      </c>
      <c r="B316" t="inlineStr">
        <is>
          <t>David</t>
        </is>
      </c>
      <c r="C316" t="inlineStr">
        <is>
          <t>Alonso</t>
        </is>
      </c>
      <c r="D316" t="inlineStr">
        <is>
          <t>Comercial</t>
        </is>
      </c>
      <c r="E316" t="inlineStr">
        <is>
          <t>Ejecutivo de cuentas</t>
        </is>
      </c>
      <c r="F316" t="inlineStr">
        <is>
          <t>Anuncios prensa</t>
        </is>
      </c>
      <c r="G316" t="inlineStr">
        <is>
          <t>Indefinido</t>
        </is>
      </c>
      <c r="H316" s="2" t="n">
        <v>44514</v>
      </c>
      <c r="I316" s="2" t="n"/>
      <c r="J316" t="inlineStr">
        <is>
          <t>Activo</t>
        </is>
      </c>
      <c r="K316" s="3" t="n">
        <v>1</v>
      </c>
      <c r="L316" s="4" t="n">
        <v>60019</v>
      </c>
      <c r="M316" s="3" t="n">
        <v>0</v>
      </c>
      <c r="N316" s="3" t="n">
        <v>0.31</v>
      </c>
      <c r="O316" s="4">
        <f>ROUND(L316*K316*(1+M316+N316),2)</f>
        <v/>
      </c>
      <c r="P316" t="inlineStr">
        <is>
          <t>Fernando Ruiz</t>
        </is>
      </c>
      <c r="Q316" t="inlineStr">
        <is>
          <t>Chile</t>
        </is>
      </c>
      <c r="R316" t="inlineStr">
        <is>
          <t>Santiago</t>
        </is>
      </c>
    </row>
    <row r="317">
      <c r="A317" t="inlineStr">
        <is>
          <t>EMP-0316</t>
        </is>
      </c>
      <c r="B317" t="inlineStr">
        <is>
          <t>Miguel</t>
        </is>
      </c>
      <c r="C317" t="inlineStr">
        <is>
          <t>Pérez</t>
        </is>
      </c>
      <c r="D317" t="inlineStr">
        <is>
          <t>Traducción</t>
        </is>
      </c>
      <c r="E317" t="inlineStr">
        <is>
          <t>Revisor lingüístico</t>
        </is>
      </c>
      <c r="F317" t="inlineStr">
        <is>
          <t>Mantenimiento intranets</t>
        </is>
      </c>
      <c r="G317" t="inlineStr">
        <is>
          <t>Indefinido</t>
        </is>
      </c>
      <c r="H317" s="2" t="n">
        <v>44584</v>
      </c>
      <c r="I317" s="2" t="n"/>
      <c r="J317" t="inlineStr">
        <is>
          <t>Activo</t>
        </is>
      </c>
      <c r="K317" s="3" t="n">
        <v>0.5</v>
      </c>
      <c r="L317" s="4" t="n">
        <v>43663</v>
      </c>
      <c r="M317" s="3" t="n">
        <v>0</v>
      </c>
      <c r="N317" s="3" t="n">
        <v>0.305</v>
      </c>
      <c r="O317" s="4">
        <f>ROUND(L317*K317*(1+M317+N317),2)</f>
        <v/>
      </c>
      <c r="P317" t="inlineStr">
        <is>
          <t>Jorge Molina</t>
        </is>
      </c>
      <c r="Q317" t="inlineStr">
        <is>
          <t>España</t>
        </is>
      </c>
      <c r="R317" t="inlineStr">
        <is>
          <t>Valencia</t>
        </is>
      </c>
    </row>
    <row r="318">
      <c r="A318" t="inlineStr">
        <is>
          <t>EMP-0317</t>
        </is>
      </c>
      <c r="B318" t="inlineStr">
        <is>
          <t>Miguel</t>
        </is>
      </c>
      <c r="C318" t="inlineStr">
        <is>
          <t>Gil</t>
        </is>
      </c>
      <c r="D318" t="inlineStr">
        <is>
          <t>Redacción</t>
        </is>
      </c>
      <c r="E318" t="inlineStr">
        <is>
          <t>Content manager</t>
        </is>
      </c>
      <c r="F318" t="inlineStr">
        <is>
          <t>Anuncios internet</t>
        </is>
      </c>
      <c r="G318" t="inlineStr">
        <is>
          <t>Indefinido</t>
        </is>
      </c>
      <c r="H318" s="2" t="n">
        <v>44784</v>
      </c>
      <c r="I318" s="2" t="n">
        <v>45052</v>
      </c>
      <c r="J318" t="inlineStr">
        <is>
          <t>Baja</t>
        </is>
      </c>
      <c r="K318" s="3" t="n">
        <v>0.75</v>
      </c>
      <c r="L318" s="4" t="n">
        <v>40792</v>
      </c>
      <c r="M318" s="3" t="n">
        <v>0.08</v>
      </c>
      <c r="N318" s="3" t="n">
        <v>0.29</v>
      </c>
      <c r="O318" s="4">
        <f>ROUND(L318*K318*(1+M318+N318),2)</f>
        <v/>
      </c>
      <c r="P318" t="inlineStr">
        <is>
          <t>Silvia Navarro</t>
        </is>
      </c>
      <c r="Q318" t="inlineStr">
        <is>
          <t>Portugal</t>
        </is>
      </c>
      <c r="R318" t="inlineStr">
        <is>
          <t>Oporto</t>
        </is>
      </c>
    </row>
    <row r="319">
      <c r="A319" t="inlineStr">
        <is>
          <t>EMP-0318</t>
        </is>
      </c>
      <c r="B319" t="inlineStr">
        <is>
          <t>Pablo</t>
        </is>
      </c>
      <c r="C319" t="inlineStr">
        <is>
          <t>Vázquez</t>
        </is>
      </c>
      <c r="D319" t="inlineStr">
        <is>
          <t>Operaciones</t>
        </is>
      </c>
      <c r="E319" t="inlineStr">
        <is>
          <t>Especialista de cuentas</t>
        </is>
      </c>
      <c r="F319" t="inlineStr">
        <is>
          <t>Publicación de noticias</t>
        </is>
      </c>
      <c r="G319" t="inlineStr">
        <is>
          <t>Freelance</t>
        </is>
      </c>
      <c r="H319" s="2" t="n">
        <v>45555</v>
      </c>
      <c r="I319" s="2" t="n"/>
      <c r="J319" t="inlineStr">
        <is>
          <t>Activo</t>
        </is>
      </c>
      <c r="K319" s="3" t="n">
        <v>0.5</v>
      </c>
      <c r="L319" s="4" t="n">
        <v>50786</v>
      </c>
      <c r="M319" s="3" t="n">
        <v>0.1</v>
      </c>
      <c r="N319" s="3" t="n">
        <v>0.324</v>
      </c>
      <c r="O319" s="4">
        <f>ROUND(L319*K319*(1+M319+N319),2)</f>
        <v/>
      </c>
      <c r="P319" t="inlineStr">
        <is>
          <t>Ana Torres</t>
        </is>
      </c>
      <c r="Q319" t="inlineStr">
        <is>
          <t>España</t>
        </is>
      </c>
      <c r="R319" t="inlineStr">
        <is>
          <t>Valencia</t>
        </is>
      </c>
    </row>
    <row r="320">
      <c r="A320" t="inlineStr">
        <is>
          <t>EMP-0319</t>
        </is>
      </c>
      <c r="B320" t="inlineStr">
        <is>
          <t>Beatriz</t>
        </is>
      </c>
      <c r="C320" t="inlineStr">
        <is>
          <t>Gómez</t>
        </is>
      </c>
      <c r="D320" t="inlineStr">
        <is>
          <t>Tecnología</t>
        </is>
      </c>
      <c r="E320" t="inlineStr">
        <is>
          <t>QA web</t>
        </is>
      </c>
      <c r="F320" t="inlineStr">
        <is>
          <t>Anuncios internet</t>
        </is>
      </c>
      <c r="G320" t="inlineStr">
        <is>
          <t>Indefinido</t>
        </is>
      </c>
      <c r="H320" s="2" t="n">
        <v>44783</v>
      </c>
      <c r="I320" s="2" t="n"/>
      <c r="J320" t="inlineStr">
        <is>
          <t>Activo</t>
        </is>
      </c>
      <c r="K320" s="3" t="n">
        <v>1</v>
      </c>
      <c r="L320" s="4" t="n">
        <v>59171</v>
      </c>
      <c r="M320" s="3" t="n">
        <v>0</v>
      </c>
      <c r="N320" s="3" t="n">
        <v>0.317</v>
      </c>
      <c r="O320" s="4">
        <f>ROUND(L320*K320*(1+M320+N320),2)</f>
        <v/>
      </c>
      <c r="P320" t="inlineStr">
        <is>
          <t>Patricia Romero</t>
        </is>
      </c>
      <c r="Q320" t="inlineStr">
        <is>
          <t>Portugal</t>
        </is>
      </c>
      <c r="R320" t="inlineStr">
        <is>
          <t>Oporto</t>
        </is>
      </c>
    </row>
    <row r="321">
      <c r="A321" t="inlineStr">
        <is>
          <t>EMP-0320</t>
        </is>
      </c>
      <c r="B321" t="inlineStr">
        <is>
          <t>Irene</t>
        </is>
      </c>
      <c r="C321" t="inlineStr">
        <is>
          <t>Alonso</t>
        </is>
      </c>
      <c r="D321" t="inlineStr">
        <is>
          <t>Traducción</t>
        </is>
      </c>
      <c r="E321" t="inlineStr">
        <is>
          <t>Localization manager</t>
        </is>
      </c>
      <c r="F321" t="inlineStr">
        <is>
          <t>Anuncios RRHH</t>
        </is>
      </c>
      <c r="G321" t="inlineStr">
        <is>
          <t>Indefinido</t>
        </is>
      </c>
      <c r="H321" s="2" t="n">
        <v>43545</v>
      </c>
      <c r="I321" s="2" t="n">
        <v>44795</v>
      </c>
      <c r="J321" t="inlineStr">
        <is>
          <t>Baja</t>
        </is>
      </c>
      <c r="K321" s="3" t="n">
        <v>1</v>
      </c>
      <c r="L321" s="4" t="n">
        <v>44425</v>
      </c>
      <c r="M321" s="3" t="n">
        <v>0.05</v>
      </c>
      <c r="N321" s="3" t="n">
        <v>0.33</v>
      </c>
      <c r="O321" s="4">
        <f>ROUND(L321*K321*(1+M321+N321),2)</f>
        <v/>
      </c>
      <c r="P321" t="inlineStr">
        <is>
          <t>Ana Torres</t>
        </is>
      </c>
      <c r="Q321" t="inlineStr">
        <is>
          <t>Colombia</t>
        </is>
      </c>
      <c r="R321" t="inlineStr">
        <is>
          <t>Bogotá</t>
        </is>
      </c>
    </row>
    <row r="322">
      <c r="A322" t="inlineStr">
        <is>
          <t>EMP-0321</t>
        </is>
      </c>
      <c r="B322" t="inlineStr">
        <is>
          <t>Eva</t>
        </is>
      </c>
      <c r="C322" t="inlineStr">
        <is>
          <t>Vázquez</t>
        </is>
      </c>
      <c r="D322" t="inlineStr">
        <is>
          <t>Traducción</t>
        </is>
      </c>
      <c r="E322" t="inlineStr">
        <is>
          <t>Traductor</t>
        </is>
      </c>
      <c r="F322" t="inlineStr">
        <is>
          <t>Anuncios internet</t>
        </is>
      </c>
      <c r="G322" t="inlineStr">
        <is>
          <t>Temporal</t>
        </is>
      </c>
      <c r="H322" s="2" t="n">
        <v>43482</v>
      </c>
      <c r="I322" s="2" t="n"/>
      <c r="J322" t="inlineStr">
        <is>
          <t>Activo</t>
        </is>
      </c>
      <c r="K322" s="3" t="n">
        <v>0.75</v>
      </c>
      <c r="L322" s="4" t="n">
        <v>51556</v>
      </c>
      <c r="M322" s="3" t="n">
        <v>0.08</v>
      </c>
      <c r="N322" s="3" t="n">
        <v>0.312</v>
      </c>
      <c r="O322" s="4">
        <f>ROUND(L322*K322*(1+M322+N322),2)</f>
        <v/>
      </c>
      <c r="P322" t="inlineStr">
        <is>
          <t>Jorge Molina</t>
        </is>
      </c>
      <c r="Q322" t="inlineStr">
        <is>
          <t>Colombia</t>
        </is>
      </c>
      <c r="R322" t="inlineStr">
        <is>
          <t>Bogotá</t>
        </is>
      </c>
    </row>
    <row r="323">
      <c r="A323" t="inlineStr">
        <is>
          <t>EMP-0322</t>
        </is>
      </c>
      <c r="B323" t="inlineStr">
        <is>
          <t>David</t>
        </is>
      </c>
      <c r="C323" t="inlineStr">
        <is>
          <t>Navarro</t>
        </is>
      </c>
      <c r="D323" t="inlineStr">
        <is>
          <t>RRHH</t>
        </is>
      </c>
      <c r="E323" t="inlineStr">
        <is>
          <t>Employer branding specialist</t>
        </is>
      </c>
      <c r="F323" t="inlineStr">
        <is>
          <t>Anuncios TV</t>
        </is>
      </c>
      <c r="G323" t="inlineStr">
        <is>
          <t>Indefinido</t>
        </is>
      </c>
      <c r="H323" s="2" t="n">
        <v>45075</v>
      </c>
      <c r="I323" s="2" t="n"/>
      <c r="J323" t="inlineStr">
        <is>
          <t>Activo</t>
        </is>
      </c>
      <c r="K323" s="3" t="n">
        <v>1</v>
      </c>
      <c r="L323" s="4" t="n">
        <v>33485</v>
      </c>
      <c r="M323" s="3" t="n">
        <v>0.08</v>
      </c>
      <c r="N323" s="3" t="n">
        <v>0.328</v>
      </c>
      <c r="O323" s="4">
        <f>ROUND(L323*K323*(1+M323+N323),2)</f>
        <v/>
      </c>
      <c r="P323" t="inlineStr">
        <is>
          <t>Silvia Navarro</t>
        </is>
      </c>
      <c r="Q323" t="inlineStr">
        <is>
          <t>España</t>
        </is>
      </c>
      <c r="R323" t="inlineStr">
        <is>
          <t>Madrid</t>
        </is>
      </c>
    </row>
    <row r="324">
      <c r="A324" t="inlineStr">
        <is>
          <t>EMP-0323</t>
        </is>
      </c>
      <c r="B324" t="inlineStr">
        <is>
          <t>Irene</t>
        </is>
      </c>
      <c r="C324" t="inlineStr">
        <is>
          <t>Iglesias</t>
        </is>
      </c>
      <c r="D324" t="inlineStr">
        <is>
          <t>Redacción</t>
        </is>
      </c>
      <c r="E324" t="inlineStr">
        <is>
          <t>Content manager</t>
        </is>
      </c>
      <c r="F324" t="inlineStr">
        <is>
          <t>Anuncios prensa</t>
        </is>
      </c>
      <c r="G324" t="inlineStr">
        <is>
          <t>Temporal</t>
        </is>
      </c>
      <c r="H324" s="2" t="n">
        <v>44261</v>
      </c>
      <c r="I324" s="2" t="n"/>
      <c r="J324" t="inlineStr">
        <is>
          <t>Activo</t>
        </is>
      </c>
      <c r="K324" s="3" t="n">
        <v>1</v>
      </c>
      <c r="L324" s="4" t="n">
        <v>35390</v>
      </c>
      <c r="M324" s="3" t="n">
        <v>0.03</v>
      </c>
      <c r="N324" s="3" t="n">
        <v>0.291</v>
      </c>
      <c r="O324" s="4">
        <f>ROUND(L324*K324*(1+M324+N324),2)</f>
        <v/>
      </c>
      <c r="P324" t="inlineStr">
        <is>
          <t>Jorge Molina</t>
        </is>
      </c>
      <c r="Q324" t="inlineStr">
        <is>
          <t>España</t>
        </is>
      </c>
      <c r="R324" t="inlineStr">
        <is>
          <t>Sevilla</t>
        </is>
      </c>
    </row>
    <row r="325">
      <c r="A325" t="inlineStr">
        <is>
          <t>EMP-0324</t>
        </is>
      </c>
      <c r="B325" t="inlineStr">
        <is>
          <t>Andrea</t>
        </is>
      </c>
      <c r="C325" t="inlineStr">
        <is>
          <t>Ortega</t>
        </is>
      </c>
      <c r="D325" t="inlineStr">
        <is>
          <t>Operaciones</t>
        </is>
      </c>
      <c r="E325" t="inlineStr">
        <is>
          <t>Especialista de cuentas</t>
        </is>
      </c>
      <c r="F325" t="inlineStr">
        <is>
          <t>Anuncios TV</t>
        </is>
      </c>
      <c r="G325" t="inlineStr">
        <is>
          <t>Indefinido</t>
        </is>
      </c>
      <c r="H325" s="2" t="n">
        <v>44394</v>
      </c>
      <c r="I325" s="2" t="n"/>
      <c r="J325" t="inlineStr">
        <is>
          <t>Activo</t>
        </is>
      </c>
      <c r="K325" s="3" t="n">
        <v>0.5</v>
      </c>
      <c r="L325" s="4" t="n">
        <v>27071</v>
      </c>
      <c r="M325" s="3" t="n">
        <v>0.05</v>
      </c>
      <c r="N325" s="3" t="n">
        <v>0.319</v>
      </c>
      <c r="O325" s="4">
        <f>ROUND(L325*K325*(1+M325+N325),2)</f>
        <v/>
      </c>
      <c r="P325" t="inlineStr">
        <is>
          <t>Patricia Romero</t>
        </is>
      </c>
      <c r="Q325" t="inlineStr">
        <is>
          <t>España</t>
        </is>
      </c>
      <c r="R325" t="inlineStr">
        <is>
          <t>Madrid</t>
        </is>
      </c>
    </row>
    <row r="326">
      <c r="A326" t="inlineStr">
        <is>
          <t>EMP-0325</t>
        </is>
      </c>
      <c r="B326" t="inlineStr">
        <is>
          <t>Raúl</t>
        </is>
      </c>
      <c r="C326" t="inlineStr">
        <is>
          <t>Molina</t>
        </is>
      </c>
      <c r="D326" t="inlineStr">
        <is>
          <t>Atención al cliente</t>
        </is>
      </c>
      <c r="E326" t="inlineStr">
        <is>
          <t>Soporte cliente</t>
        </is>
      </c>
      <c r="F326" t="inlineStr">
        <is>
          <t>Anuncios prensa</t>
        </is>
      </c>
      <c r="G326" t="inlineStr">
        <is>
          <t>Indefinido</t>
        </is>
      </c>
      <c r="H326" s="2" t="n">
        <v>45362</v>
      </c>
      <c r="I326" s="2" t="n"/>
      <c r="J326" t="inlineStr">
        <is>
          <t>Activo</t>
        </is>
      </c>
      <c r="K326" s="3" t="n">
        <v>1</v>
      </c>
      <c r="L326" s="4" t="n">
        <v>27856</v>
      </c>
      <c r="M326" s="3" t="n">
        <v>0.03</v>
      </c>
      <c r="N326" s="3" t="n">
        <v>0.314</v>
      </c>
      <c r="O326" s="4">
        <f>ROUND(L326*K326*(1+M326+N326),2)</f>
        <v/>
      </c>
      <c r="P326" t="inlineStr">
        <is>
          <t>Patricia Romero</t>
        </is>
      </c>
      <c r="Q326" t="inlineStr">
        <is>
          <t>España</t>
        </is>
      </c>
      <c r="R326" t="inlineStr">
        <is>
          <t>Valencia</t>
        </is>
      </c>
    </row>
    <row r="327">
      <c r="A327" t="inlineStr">
        <is>
          <t>EMP-0326</t>
        </is>
      </c>
      <c r="B327" t="inlineStr">
        <is>
          <t>Carmen</t>
        </is>
      </c>
      <c r="C327" t="inlineStr">
        <is>
          <t>Marín</t>
        </is>
      </c>
      <c r="D327" t="inlineStr">
        <is>
          <t>Comercial</t>
        </is>
      </c>
      <c r="E327" t="inlineStr">
        <is>
          <t>Business developer</t>
        </is>
      </c>
      <c r="F327" t="inlineStr">
        <is>
          <t>Anuncios RRHH</t>
        </is>
      </c>
      <c r="G327" t="inlineStr">
        <is>
          <t>Temporal</t>
        </is>
      </c>
      <c r="H327" s="2" t="n">
        <v>43588</v>
      </c>
      <c r="I327" s="2" t="n"/>
      <c r="J327" t="inlineStr">
        <is>
          <t>Activo</t>
        </is>
      </c>
      <c r="K327" s="3" t="n">
        <v>1</v>
      </c>
      <c r="L327" s="4" t="n">
        <v>57388</v>
      </c>
      <c r="M327" s="3" t="n">
        <v>0</v>
      </c>
      <c r="N327" s="3" t="n">
        <v>0.286</v>
      </c>
      <c r="O327" s="4">
        <f>ROUND(L327*K327*(1+M327+N327),2)</f>
        <v/>
      </c>
      <c r="P327" t="inlineStr">
        <is>
          <t>Fernando Ruiz</t>
        </is>
      </c>
      <c r="Q327" t="inlineStr">
        <is>
          <t>México</t>
        </is>
      </c>
      <c r="R327" t="inlineStr">
        <is>
          <t>Guadalajara</t>
        </is>
      </c>
    </row>
    <row r="328">
      <c r="A328" t="inlineStr">
        <is>
          <t>EMP-0327</t>
        </is>
      </c>
      <c r="B328" t="inlineStr">
        <is>
          <t>Elena</t>
        </is>
      </c>
      <c r="C328" t="inlineStr">
        <is>
          <t>Alonso</t>
        </is>
      </c>
      <c r="D328" t="inlineStr">
        <is>
          <t>Marketing</t>
        </is>
      </c>
      <c r="E328" t="inlineStr">
        <is>
          <t>Especialista SEM</t>
        </is>
      </c>
      <c r="F328" t="inlineStr">
        <is>
          <t>Anuncios TV</t>
        </is>
      </c>
      <c r="G328" t="inlineStr">
        <is>
          <t>Freelance</t>
        </is>
      </c>
      <c r="H328" s="2" t="n">
        <v>43122</v>
      </c>
      <c r="I328" s="2" t="n"/>
      <c r="J328" t="inlineStr">
        <is>
          <t>Activo</t>
        </is>
      </c>
      <c r="K328" s="3" t="n">
        <v>0.75</v>
      </c>
      <c r="L328" s="4" t="n">
        <v>49039</v>
      </c>
      <c r="M328" s="3" t="n">
        <v>0.08</v>
      </c>
      <c r="N328" s="3" t="n">
        <v>0.306</v>
      </c>
      <c r="O328" s="4">
        <f>ROUND(L328*K328*(1+M328+N328),2)</f>
        <v/>
      </c>
      <c r="P328" t="inlineStr">
        <is>
          <t>Patricia Romero</t>
        </is>
      </c>
      <c r="Q328" t="inlineStr">
        <is>
          <t>Portugal</t>
        </is>
      </c>
      <c r="R328" t="inlineStr">
        <is>
          <t>Lisboa</t>
        </is>
      </c>
    </row>
    <row r="329">
      <c r="A329" t="inlineStr">
        <is>
          <t>EMP-0328</t>
        </is>
      </c>
      <c r="B329" t="inlineStr">
        <is>
          <t>Andrea</t>
        </is>
      </c>
      <c r="C329" t="inlineStr">
        <is>
          <t>Iglesias</t>
        </is>
      </c>
      <c r="D329" t="inlineStr">
        <is>
          <t>Tecnología</t>
        </is>
      </c>
      <c r="E329" t="inlineStr">
        <is>
          <t>Desarrollador web</t>
        </is>
      </c>
      <c r="F329" t="inlineStr">
        <is>
          <t>Anuncios RRHH</t>
        </is>
      </c>
      <c r="G329" t="inlineStr">
        <is>
          <t>Freelance</t>
        </is>
      </c>
      <c r="H329" s="2" t="n">
        <v>45615</v>
      </c>
      <c r="I329" s="2" t="n"/>
      <c r="J329" t="inlineStr">
        <is>
          <t>Activo</t>
        </is>
      </c>
      <c r="K329" s="3" t="n">
        <v>1</v>
      </c>
      <c r="L329" s="4" t="n">
        <v>57210</v>
      </c>
      <c r="M329" s="3" t="n">
        <v>0.08</v>
      </c>
      <c r="N329" s="3" t="n">
        <v>0.283</v>
      </c>
      <c r="O329" s="4">
        <f>ROUND(L329*K329*(1+M329+N329),2)</f>
        <v/>
      </c>
      <c r="P329" t="inlineStr">
        <is>
          <t>Jorge Molina</t>
        </is>
      </c>
      <c r="Q329" t="inlineStr">
        <is>
          <t>España</t>
        </is>
      </c>
      <c r="R329" t="inlineStr">
        <is>
          <t>Madrid</t>
        </is>
      </c>
    </row>
    <row r="330">
      <c r="A330" t="inlineStr">
        <is>
          <t>EMP-0329</t>
        </is>
      </c>
      <c r="B330" t="inlineStr">
        <is>
          <t>Laura</t>
        </is>
      </c>
      <c r="C330" t="inlineStr">
        <is>
          <t>Martínez</t>
        </is>
      </c>
      <c r="D330" t="inlineStr">
        <is>
          <t>Finanzas</t>
        </is>
      </c>
      <c r="E330" t="inlineStr">
        <is>
          <t>Controller</t>
        </is>
      </c>
      <c r="F330" t="inlineStr">
        <is>
          <t>Anuncios internet</t>
        </is>
      </c>
      <c r="G330" t="inlineStr">
        <is>
          <t>Temporal</t>
        </is>
      </c>
      <c r="H330" s="2" t="n">
        <v>45192</v>
      </c>
      <c r="I330" s="2" t="n"/>
      <c r="J330" t="inlineStr">
        <is>
          <t>Activo</t>
        </is>
      </c>
      <c r="K330" s="3" t="n">
        <v>0.75</v>
      </c>
      <c r="L330" s="4" t="n">
        <v>42158</v>
      </c>
      <c r="M330" s="3" t="n">
        <v>0</v>
      </c>
      <c r="N330" s="3" t="n">
        <v>0.32</v>
      </c>
      <c r="O330" s="4">
        <f>ROUND(L330*K330*(1+M330+N330),2)</f>
        <v/>
      </c>
      <c r="P330" t="inlineStr">
        <is>
          <t>Luis Gómez</t>
        </is>
      </c>
      <c r="Q330" t="inlineStr">
        <is>
          <t>España</t>
        </is>
      </c>
      <c r="R330" t="inlineStr">
        <is>
          <t>Valencia</t>
        </is>
      </c>
    </row>
    <row r="331">
      <c r="A331" t="inlineStr">
        <is>
          <t>EMP-0330</t>
        </is>
      </c>
      <c r="B331" t="inlineStr">
        <is>
          <t>Raúl</t>
        </is>
      </c>
      <c r="C331" t="inlineStr">
        <is>
          <t>Romero</t>
        </is>
      </c>
      <c r="D331" t="inlineStr">
        <is>
          <t>Operaciones</t>
        </is>
      </c>
      <c r="E331" t="inlineStr">
        <is>
          <t>Coordinador de operaciones</t>
        </is>
      </c>
      <c r="F331" t="inlineStr">
        <is>
          <t>Publicación de noticias</t>
        </is>
      </c>
      <c r="G331" t="inlineStr">
        <is>
          <t>Indefinido</t>
        </is>
      </c>
      <c r="H331" s="2" t="n">
        <v>44761</v>
      </c>
      <c r="I331" s="2" t="n"/>
      <c r="J331" t="inlineStr">
        <is>
          <t>Activo</t>
        </is>
      </c>
      <c r="K331" s="3" t="n">
        <v>1</v>
      </c>
      <c r="L331" s="4" t="n">
        <v>22503</v>
      </c>
      <c r="M331" s="3" t="n">
        <v>0.1</v>
      </c>
      <c r="N331" s="3" t="n">
        <v>0.322</v>
      </c>
      <c r="O331" s="4">
        <f>ROUND(L331*K331*(1+M331+N331),2)</f>
        <v/>
      </c>
      <c r="P331" t="inlineStr">
        <is>
          <t>Silvia Navarro</t>
        </is>
      </c>
      <c r="Q331" t="inlineStr">
        <is>
          <t>España</t>
        </is>
      </c>
      <c r="R331" t="inlineStr">
        <is>
          <t>Valencia</t>
        </is>
      </c>
    </row>
    <row r="332">
      <c r="A332" t="inlineStr">
        <is>
          <t>EMP-0331</t>
        </is>
      </c>
      <c r="B332" t="inlineStr">
        <is>
          <t>Teresa</t>
        </is>
      </c>
      <c r="C332" t="inlineStr">
        <is>
          <t>Morales</t>
        </is>
      </c>
      <c r="D332" t="inlineStr">
        <is>
          <t>Comercial</t>
        </is>
      </c>
      <c r="E332" t="inlineStr">
        <is>
          <t>Sales manager</t>
        </is>
      </c>
      <c r="F332" t="inlineStr">
        <is>
          <t>Anuncios TV</t>
        </is>
      </c>
      <c r="G332" t="inlineStr">
        <is>
          <t>Indefinido</t>
        </is>
      </c>
      <c r="H332" s="2" t="n">
        <v>45584</v>
      </c>
      <c r="I332" s="2" t="n"/>
      <c r="J332" t="inlineStr">
        <is>
          <t>Activo</t>
        </is>
      </c>
      <c r="K332" s="3" t="n">
        <v>1</v>
      </c>
      <c r="L332" s="4" t="n">
        <v>43945</v>
      </c>
      <c r="M332" s="3" t="n">
        <v>0</v>
      </c>
      <c r="N332" s="3" t="n">
        <v>0.296</v>
      </c>
      <c r="O332" s="4">
        <f>ROUND(L332*K332*(1+M332+N332),2)</f>
        <v/>
      </c>
      <c r="P332" t="inlineStr">
        <is>
          <t>Silvia Navarro</t>
        </is>
      </c>
      <c r="Q332" t="inlineStr">
        <is>
          <t>Colombia</t>
        </is>
      </c>
      <c r="R332" t="inlineStr">
        <is>
          <t>Medellín</t>
        </is>
      </c>
    </row>
    <row r="333">
      <c r="A333" t="inlineStr">
        <is>
          <t>EMP-0332</t>
        </is>
      </c>
      <c r="B333" t="inlineStr">
        <is>
          <t>Marcos</t>
        </is>
      </c>
      <c r="C333" t="inlineStr">
        <is>
          <t>Sánchez</t>
        </is>
      </c>
      <c r="D333" t="inlineStr">
        <is>
          <t>Redacción</t>
        </is>
      </c>
      <c r="E333" t="inlineStr">
        <is>
          <t>Editor</t>
        </is>
      </c>
      <c r="F333" t="inlineStr">
        <is>
          <t>Anuncios TV</t>
        </is>
      </c>
      <c r="G333" t="inlineStr">
        <is>
          <t>Temporal</t>
        </is>
      </c>
      <c r="H333" s="2" t="n">
        <v>44156</v>
      </c>
      <c r="I333" s="2" t="n"/>
      <c r="J333" t="inlineStr">
        <is>
          <t>Activo</t>
        </is>
      </c>
      <c r="K333" s="3" t="n">
        <v>1</v>
      </c>
      <c r="L333" s="4" t="n">
        <v>30196</v>
      </c>
      <c r="M333" s="3" t="n">
        <v>0.1</v>
      </c>
      <c r="N333" s="3" t="n">
        <v>0.307</v>
      </c>
      <c r="O333" s="4">
        <f>ROUND(L333*K333*(1+M333+N333),2)</f>
        <v/>
      </c>
      <c r="P333" t="inlineStr">
        <is>
          <t>Silvia Navarro</t>
        </is>
      </c>
      <c r="Q333" t="inlineStr">
        <is>
          <t>España</t>
        </is>
      </c>
      <c r="R333" t="inlineStr">
        <is>
          <t>Valencia</t>
        </is>
      </c>
    </row>
    <row r="334">
      <c r="A334" t="inlineStr">
        <is>
          <t>EMP-0333</t>
        </is>
      </c>
      <c r="B334" t="inlineStr">
        <is>
          <t>Óscar</t>
        </is>
      </c>
      <c r="C334" t="inlineStr">
        <is>
          <t>Cano</t>
        </is>
      </c>
      <c r="D334" t="inlineStr">
        <is>
          <t>Finanzas</t>
        </is>
      </c>
      <c r="E334" t="inlineStr">
        <is>
          <t>Analista financiero</t>
        </is>
      </c>
      <c r="F334" t="inlineStr">
        <is>
          <t>Mantenimiento intranets</t>
        </is>
      </c>
      <c r="G334" t="inlineStr">
        <is>
          <t>Indefinido</t>
        </is>
      </c>
      <c r="H334" s="2" t="n">
        <v>43213</v>
      </c>
      <c r="I334" s="2" t="n"/>
      <c r="J334" t="inlineStr">
        <is>
          <t>Activo</t>
        </is>
      </c>
      <c r="K334" s="3" t="n">
        <v>1</v>
      </c>
      <c r="L334" s="4" t="n">
        <v>24213</v>
      </c>
      <c r="M334" s="3" t="n">
        <v>0.05</v>
      </c>
      <c r="N334" s="3" t="n">
        <v>0.318</v>
      </c>
      <c r="O334" s="4">
        <f>ROUND(L334*K334*(1+M334+N334),2)</f>
        <v/>
      </c>
      <c r="P334" t="inlineStr">
        <is>
          <t>Jorge Molina</t>
        </is>
      </c>
      <c r="Q334" t="inlineStr">
        <is>
          <t>México</t>
        </is>
      </c>
      <c r="R334" t="inlineStr">
        <is>
          <t>Guadalajara</t>
        </is>
      </c>
    </row>
    <row r="335">
      <c r="A335" t="inlineStr">
        <is>
          <t>EMP-0334</t>
        </is>
      </c>
      <c r="B335" t="inlineStr">
        <is>
          <t>David</t>
        </is>
      </c>
      <c r="C335" t="inlineStr">
        <is>
          <t>Ramos</t>
        </is>
      </c>
      <c r="D335" t="inlineStr">
        <is>
          <t>Tecnología</t>
        </is>
      </c>
      <c r="E335" t="inlineStr">
        <is>
          <t>Desarrollador web</t>
        </is>
      </c>
      <c r="F335" t="inlineStr">
        <is>
          <t>Anuncios RRHH</t>
        </is>
      </c>
      <c r="G335" t="inlineStr">
        <is>
          <t>Indefinido</t>
        </is>
      </c>
      <c r="H335" s="2" t="n">
        <v>44179</v>
      </c>
      <c r="I335" s="2" t="n"/>
      <c r="J335" t="inlineStr">
        <is>
          <t>Activo</t>
        </is>
      </c>
      <c r="K335" s="3" t="n">
        <v>0.5</v>
      </c>
      <c r="L335" s="4" t="n">
        <v>44590</v>
      </c>
      <c r="M335" s="3" t="n">
        <v>0.1</v>
      </c>
      <c r="N335" s="3" t="n">
        <v>0.329</v>
      </c>
      <c r="O335" s="4">
        <f>ROUND(L335*K335*(1+M335+N335),2)</f>
        <v/>
      </c>
      <c r="P335" t="inlineStr">
        <is>
          <t>Silvia Navarro</t>
        </is>
      </c>
      <c r="Q335" t="inlineStr">
        <is>
          <t>España</t>
        </is>
      </c>
      <c r="R335" t="inlineStr">
        <is>
          <t>Valencia</t>
        </is>
      </c>
    </row>
    <row r="336">
      <c r="A336" t="inlineStr">
        <is>
          <t>EMP-0335</t>
        </is>
      </c>
      <c r="B336" t="inlineStr">
        <is>
          <t>Marina</t>
        </is>
      </c>
      <c r="C336" t="inlineStr">
        <is>
          <t>Díaz</t>
        </is>
      </c>
      <c r="D336" t="inlineStr">
        <is>
          <t>Traducción</t>
        </is>
      </c>
      <c r="E336" t="inlineStr">
        <is>
          <t>Revisor lingüístico</t>
        </is>
      </c>
      <c r="F336" t="inlineStr">
        <is>
          <t>Anuncios internet</t>
        </is>
      </c>
      <c r="G336" t="inlineStr">
        <is>
          <t>Indefinido</t>
        </is>
      </c>
      <c r="H336" s="2" t="n">
        <v>43879</v>
      </c>
      <c r="I336" s="2" t="n"/>
      <c r="J336" t="inlineStr">
        <is>
          <t>Activo</t>
        </is>
      </c>
      <c r="K336" s="3" t="n">
        <v>0.75</v>
      </c>
      <c r="L336" s="4" t="n">
        <v>29695</v>
      </c>
      <c r="M336" s="3" t="n">
        <v>0.1</v>
      </c>
      <c r="N336" s="3" t="n">
        <v>0.295</v>
      </c>
      <c r="O336" s="4">
        <f>ROUND(L336*K336*(1+M336+N336),2)</f>
        <v/>
      </c>
      <c r="P336" t="inlineStr">
        <is>
          <t>Luis Gómez</t>
        </is>
      </c>
      <c r="Q336" t="inlineStr">
        <is>
          <t>España</t>
        </is>
      </c>
      <c r="R336" t="inlineStr">
        <is>
          <t>Barcelona</t>
        </is>
      </c>
    </row>
    <row r="337">
      <c r="A337" t="inlineStr">
        <is>
          <t>EMP-0336</t>
        </is>
      </c>
      <c r="B337" t="inlineStr">
        <is>
          <t>Diego</t>
        </is>
      </c>
      <c r="C337" t="inlineStr">
        <is>
          <t>Molina</t>
        </is>
      </c>
      <c r="D337" t="inlineStr">
        <is>
          <t>Tecnología</t>
        </is>
      </c>
      <c r="E337" t="inlineStr">
        <is>
          <t>Desarrollador web</t>
        </is>
      </c>
      <c r="F337" t="inlineStr">
        <is>
          <t>Mantenimiento intranets</t>
        </is>
      </c>
      <c r="G337" t="inlineStr">
        <is>
          <t>Indefinido</t>
        </is>
      </c>
      <c r="H337" s="2" t="n">
        <v>43422</v>
      </c>
      <c r="I337" s="2" t="n"/>
      <c r="J337" t="inlineStr">
        <is>
          <t>Activo</t>
        </is>
      </c>
      <c r="K337" s="3" t="n">
        <v>1</v>
      </c>
      <c r="L337" s="4" t="n">
        <v>46167</v>
      </c>
      <c r="M337" s="3" t="n">
        <v>0.12</v>
      </c>
      <c r="N337" s="3" t="n">
        <v>0.331</v>
      </c>
      <c r="O337" s="4">
        <f>ROUND(L337*K337*(1+M337+N337),2)</f>
        <v/>
      </c>
      <c r="P337" t="inlineStr">
        <is>
          <t>Fernando Ruiz</t>
        </is>
      </c>
      <c r="Q337" t="inlineStr">
        <is>
          <t>Colombia</t>
        </is>
      </c>
      <c r="R337" t="inlineStr">
        <is>
          <t>Medellín</t>
        </is>
      </c>
    </row>
    <row r="338">
      <c r="A338" t="inlineStr">
        <is>
          <t>EMP-0337</t>
        </is>
      </c>
      <c r="B338" t="inlineStr">
        <is>
          <t>Iván</t>
        </is>
      </c>
      <c r="C338" t="inlineStr">
        <is>
          <t>Gómez</t>
        </is>
      </c>
      <c r="D338" t="inlineStr">
        <is>
          <t>Marketing</t>
        </is>
      </c>
      <c r="E338" t="inlineStr">
        <is>
          <t>Media planner</t>
        </is>
      </c>
      <c r="F338" t="inlineStr">
        <is>
          <t>Anuncios RRHH</t>
        </is>
      </c>
      <c r="G338" t="inlineStr">
        <is>
          <t>Freelance</t>
        </is>
      </c>
      <c r="H338" s="2" t="n">
        <v>45194</v>
      </c>
      <c r="I338" s="2" t="n"/>
      <c r="J338" t="inlineStr">
        <is>
          <t>Activo</t>
        </is>
      </c>
      <c r="K338" s="3" t="n">
        <v>0.75</v>
      </c>
      <c r="L338" s="4" t="n">
        <v>55305</v>
      </c>
      <c r="M338" s="3" t="n">
        <v>0</v>
      </c>
      <c r="N338" s="3" t="n">
        <v>0.283</v>
      </c>
      <c r="O338" s="4">
        <f>ROUND(L338*K338*(1+M338+N338),2)</f>
        <v/>
      </c>
      <c r="P338" t="inlineStr">
        <is>
          <t>Fernando Ruiz</t>
        </is>
      </c>
      <c r="Q338" t="inlineStr">
        <is>
          <t>España</t>
        </is>
      </c>
      <c r="R338" t="inlineStr">
        <is>
          <t>Valencia</t>
        </is>
      </c>
    </row>
    <row r="339">
      <c r="A339" t="inlineStr">
        <is>
          <t>EMP-0338</t>
        </is>
      </c>
      <c r="B339" t="inlineStr">
        <is>
          <t>Pablo</t>
        </is>
      </c>
      <c r="C339" t="inlineStr">
        <is>
          <t>Torres</t>
        </is>
      </c>
      <c r="D339" t="inlineStr">
        <is>
          <t>Atención al cliente</t>
        </is>
      </c>
      <c r="E339" t="inlineStr">
        <is>
          <t>Account support</t>
        </is>
      </c>
      <c r="F339" t="inlineStr">
        <is>
          <t>Mantenimiento web</t>
        </is>
      </c>
      <c r="G339" t="inlineStr">
        <is>
          <t>Freelance</t>
        </is>
      </c>
      <c r="H339" s="2" t="n">
        <v>45223</v>
      </c>
      <c r="I339" s="2" t="n"/>
      <c r="J339" t="inlineStr">
        <is>
          <t>Activo</t>
        </is>
      </c>
      <c r="K339" s="3" t="n">
        <v>0.5</v>
      </c>
      <c r="L339" s="4" t="n">
        <v>22387</v>
      </c>
      <c r="M339" s="3" t="n">
        <v>0.1</v>
      </c>
      <c r="N339" s="3" t="n">
        <v>0.293</v>
      </c>
      <c r="O339" s="4">
        <f>ROUND(L339*K339*(1+M339+N339),2)</f>
        <v/>
      </c>
      <c r="P339" t="inlineStr">
        <is>
          <t>Ana Torres</t>
        </is>
      </c>
      <c r="Q339" t="inlineStr">
        <is>
          <t>España</t>
        </is>
      </c>
      <c r="R339" t="inlineStr">
        <is>
          <t>Sevilla</t>
        </is>
      </c>
    </row>
    <row r="340">
      <c r="A340" t="inlineStr">
        <is>
          <t>EMP-0339</t>
        </is>
      </c>
      <c r="B340" t="inlineStr">
        <is>
          <t>Pablo</t>
        </is>
      </c>
      <c r="C340" t="inlineStr">
        <is>
          <t>Ramos</t>
        </is>
      </c>
      <c r="D340" t="inlineStr">
        <is>
          <t>Marketing</t>
        </is>
      </c>
      <c r="E340" t="inlineStr">
        <is>
          <t>Especialista SEM</t>
        </is>
      </c>
      <c r="F340" t="inlineStr">
        <is>
          <t>Anuncios RRHH</t>
        </is>
      </c>
      <c r="G340" t="inlineStr">
        <is>
          <t>Indefinido</t>
        </is>
      </c>
      <c r="H340" s="2" t="n">
        <v>44204</v>
      </c>
      <c r="I340" s="2" t="n"/>
      <c r="J340" t="inlineStr">
        <is>
          <t>Activo</t>
        </is>
      </c>
      <c r="K340" s="3" t="n">
        <v>1</v>
      </c>
      <c r="L340" s="4" t="n">
        <v>40239</v>
      </c>
      <c r="M340" s="3" t="n">
        <v>0</v>
      </c>
      <c r="N340" s="3" t="n">
        <v>0.31</v>
      </c>
      <c r="O340" s="4">
        <f>ROUND(L340*K340*(1+M340+N340),2)</f>
        <v/>
      </c>
      <c r="P340" t="inlineStr">
        <is>
          <t>Fernando Ruiz</t>
        </is>
      </c>
      <c r="Q340" t="inlineStr">
        <is>
          <t>Portugal</t>
        </is>
      </c>
      <c r="R340" t="inlineStr">
        <is>
          <t>Oporto</t>
        </is>
      </c>
    </row>
    <row r="341">
      <c r="A341" t="inlineStr">
        <is>
          <t>EMP-0340</t>
        </is>
      </c>
      <c r="B341" t="inlineStr">
        <is>
          <t>Sara</t>
        </is>
      </c>
      <c r="C341" t="inlineStr">
        <is>
          <t>Gómez</t>
        </is>
      </c>
      <c r="D341" t="inlineStr">
        <is>
          <t>Marketing</t>
        </is>
      </c>
      <c r="E341" t="inlineStr">
        <is>
          <t>Media planner</t>
        </is>
      </c>
      <c r="F341" t="inlineStr">
        <is>
          <t>Anuncios RRHH</t>
        </is>
      </c>
      <c r="G341" t="inlineStr">
        <is>
          <t>Indefinido</t>
        </is>
      </c>
      <c r="H341" s="2" t="n">
        <v>45459</v>
      </c>
      <c r="I341" s="2" t="n"/>
      <c r="J341" t="inlineStr">
        <is>
          <t>Activo</t>
        </is>
      </c>
      <c r="K341" s="3" t="n">
        <v>0.5</v>
      </c>
      <c r="L341" s="4" t="n">
        <v>51830</v>
      </c>
      <c r="M341" s="3" t="n">
        <v>0.12</v>
      </c>
      <c r="N341" s="3" t="n">
        <v>0.294</v>
      </c>
      <c r="O341" s="4">
        <f>ROUND(L341*K341*(1+M341+N341),2)</f>
        <v/>
      </c>
      <c r="P341" t="inlineStr">
        <is>
          <t>Fernando Ruiz</t>
        </is>
      </c>
      <c r="Q341" t="inlineStr">
        <is>
          <t>Colombia</t>
        </is>
      </c>
      <c r="R341" t="inlineStr">
        <is>
          <t>Medellín</t>
        </is>
      </c>
    </row>
    <row r="342">
      <c r="A342" t="inlineStr">
        <is>
          <t>EMP-0341</t>
        </is>
      </c>
      <c r="B342" t="inlineStr">
        <is>
          <t>Beatriz</t>
        </is>
      </c>
      <c r="C342" t="inlineStr">
        <is>
          <t>Blanco</t>
        </is>
      </c>
      <c r="D342" t="inlineStr">
        <is>
          <t>Tecnología</t>
        </is>
      </c>
      <c r="E342" t="inlineStr">
        <is>
          <t>Administrador intranet</t>
        </is>
      </c>
      <c r="F342" t="inlineStr">
        <is>
          <t>Publicación de noticias</t>
        </is>
      </c>
      <c r="G342" t="inlineStr">
        <is>
          <t>Indefinido</t>
        </is>
      </c>
      <c r="H342" s="2" t="n">
        <v>44827</v>
      </c>
      <c r="I342" s="2" t="n"/>
      <c r="J342" t="inlineStr">
        <is>
          <t>Activo</t>
        </is>
      </c>
      <c r="K342" s="3" t="n">
        <v>1</v>
      </c>
      <c r="L342" s="4" t="n">
        <v>49399</v>
      </c>
      <c r="M342" s="3" t="n">
        <v>0.03</v>
      </c>
      <c r="N342" s="3" t="n">
        <v>0.327</v>
      </c>
      <c r="O342" s="4">
        <f>ROUND(L342*K342*(1+M342+N342),2)</f>
        <v/>
      </c>
      <c r="P342" t="inlineStr">
        <is>
          <t>Patricia Romero</t>
        </is>
      </c>
      <c r="Q342" t="inlineStr">
        <is>
          <t>México</t>
        </is>
      </c>
      <c r="R342" t="inlineStr">
        <is>
          <t>Ciudad de México</t>
        </is>
      </c>
    </row>
    <row r="343">
      <c r="A343" t="inlineStr">
        <is>
          <t>EMP-0342</t>
        </is>
      </c>
      <c r="B343" t="inlineStr">
        <is>
          <t>Javier</t>
        </is>
      </c>
      <c r="C343" t="inlineStr">
        <is>
          <t>Fernández</t>
        </is>
      </c>
      <c r="D343" t="inlineStr">
        <is>
          <t>Atención al cliente</t>
        </is>
      </c>
      <c r="E343" t="inlineStr">
        <is>
          <t>Soporte cliente</t>
        </is>
      </c>
      <c r="F343" t="inlineStr">
        <is>
          <t>Mantenimiento web</t>
        </is>
      </c>
      <c r="G343" t="inlineStr">
        <is>
          <t>Temporal</t>
        </is>
      </c>
      <c r="H343" s="2" t="n">
        <v>45052</v>
      </c>
      <c r="I343" s="2" t="n"/>
      <c r="J343" t="inlineStr">
        <is>
          <t>Activo</t>
        </is>
      </c>
      <c r="K343" s="3" t="n">
        <v>0.5</v>
      </c>
      <c r="L343" s="4" t="n">
        <v>36740</v>
      </c>
      <c r="M343" s="3" t="n">
        <v>0.1</v>
      </c>
      <c r="N343" s="3" t="n">
        <v>0.3</v>
      </c>
      <c r="O343" s="4">
        <f>ROUND(L343*K343*(1+M343+N343),2)</f>
        <v/>
      </c>
      <c r="P343" t="inlineStr">
        <is>
          <t>Patricia Romero</t>
        </is>
      </c>
      <c r="Q343" t="inlineStr">
        <is>
          <t>España</t>
        </is>
      </c>
      <c r="R343" t="inlineStr">
        <is>
          <t>Barcelona</t>
        </is>
      </c>
    </row>
    <row r="344">
      <c r="A344" t="inlineStr">
        <is>
          <t>EMP-0343</t>
        </is>
      </c>
      <c r="B344" t="inlineStr">
        <is>
          <t>Teresa</t>
        </is>
      </c>
      <c r="C344" t="inlineStr">
        <is>
          <t>García</t>
        </is>
      </c>
      <c r="D344" t="inlineStr">
        <is>
          <t>Atención al cliente</t>
        </is>
      </c>
      <c r="E344" t="inlineStr">
        <is>
          <t>Account support</t>
        </is>
      </c>
      <c r="F344" t="inlineStr">
        <is>
          <t>Anuncios TV</t>
        </is>
      </c>
      <c r="G344" t="inlineStr">
        <is>
          <t>Indefinido</t>
        </is>
      </c>
      <c r="H344" s="2" t="n">
        <v>44539</v>
      </c>
      <c r="I344" s="2" t="n"/>
      <c r="J344" t="inlineStr">
        <is>
          <t>Activo</t>
        </is>
      </c>
      <c r="K344" s="3" t="n">
        <v>1</v>
      </c>
      <c r="L344" s="4" t="n">
        <v>28519</v>
      </c>
      <c r="M344" s="3" t="n">
        <v>0.08</v>
      </c>
      <c r="N344" s="3" t="n">
        <v>0.315</v>
      </c>
      <c r="O344" s="4">
        <f>ROUND(L344*K344*(1+M344+N344),2)</f>
        <v/>
      </c>
      <c r="P344" t="inlineStr">
        <is>
          <t>Silvia Navarro</t>
        </is>
      </c>
      <c r="Q344" t="inlineStr">
        <is>
          <t>Chile</t>
        </is>
      </c>
      <c r="R344" t="inlineStr">
        <is>
          <t>Santiago</t>
        </is>
      </c>
    </row>
    <row r="345">
      <c r="A345" t="inlineStr">
        <is>
          <t>EMP-0344</t>
        </is>
      </c>
      <c r="B345" t="inlineStr">
        <is>
          <t>Sara</t>
        </is>
      </c>
      <c r="C345" t="inlineStr">
        <is>
          <t>Cano</t>
        </is>
      </c>
      <c r="D345" t="inlineStr">
        <is>
          <t>Traducción</t>
        </is>
      </c>
      <c r="E345" t="inlineStr">
        <is>
          <t>Revisor lingüístico</t>
        </is>
      </c>
      <c r="F345" t="inlineStr">
        <is>
          <t>Generación de noticias</t>
        </is>
      </c>
      <c r="G345" t="inlineStr">
        <is>
          <t>Indefinido</t>
        </is>
      </c>
      <c r="H345" s="2" t="n">
        <v>45614</v>
      </c>
      <c r="I345" s="2" t="n"/>
      <c r="J345" t="inlineStr">
        <is>
          <t>Activo</t>
        </is>
      </c>
      <c r="K345" s="3" t="n">
        <v>0.75</v>
      </c>
      <c r="L345" s="4" t="n">
        <v>50451</v>
      </c>
      <c r="M345" s="3" t="n">
        <v>0</v>
      </c>
      <c r="N345" s="3" t="n">
        <v>0.318</v>
      </c>
      <c r="O345" s="4">
        <f>ROUND(L345*K345*(1+M345+N345),2)</f>
        <v/>
      </c>
      <c r="P345" t="inlineStr">
        <is>
          <t>Fernando Ruiz</t>
        </is>
      </c>
      <c r="Q345" t="inlineStr">
        <is>
          <t>España</t>
        </is>
      </c>
      <c r="R345" t="inlineStr">
        <is>
          <t>Sevilla</t>
        </is>
      </c>
    </row>
    <row r="346">
      <c r="A346" t="inlineStr">
        <is>
          <t>EMP-0345</t>
        </is>
      </c>
      <c r="B346" t="inlineStr">
        <is>
          <t>Irene</t>
        </is>
      </c>
      <c r="C346" t="inlineStr">
        <is>
          <t>Álvarez</t>
        </is>
      </c>
      <c r="D346" t="inlineStr">
        <is>
          <t>RRHH</t>
        </is>
      </c>
      <c r="E346" t="inlineStr">
        <is>
          <t>Recruitment marketer</t>
        </is>
      </c>
      <c r="F346" t="inlineStr">
        <is>
          <t>Traducciones</t>
        </is>
      </c>
      <c r="G346" t="inlineStr">
        <is>
          <t>Indefinido</t>
        </is>
      </c>
      <c r="H346" s="2" t="n">
        <v>44294</v>
      </c>
      <c r="I346" s="2" t="n"/>
      <c r="J346" t="inlineStr">
        <is>
          <t>Activo</t>
        </is>
      </c>
      <c r="K346" s="3" t="n">
        <v>1</v>
      </c>
      <c r="L346" s="4" t="n">
        <v>43123</v>
      </c>
      <c r="M346" s="3" t="n">
        <v>0.05</v>
      </c>
      <c r="N346" s="3" t="n">
        <v>0.296</v>
      </c>
      <c r="O346" s="4">
        <f>ROUND(L346*K346*(1+M346+N346),2)</f>
        <v/>
      </c>
      <c r="P346" t="inlineStr">
        <is>
          <t>Patricia Romero</t>
        </is>
      </c>
      <c r="Q346" t="inlineStr">
        <is>
          <t>España</t>
        </is>
      </c>
      <c r="R346" t="inlineStr">
        <is>
          <t>Valencia</t>
        </is>
      </c>
    </row>
    <row r="347">
      <c r="A347" t="inlineStr">
        <is>
          <t>EMP-0346</t>
        </is>
      </c>
      <c r="B347" t="inlineStr">
        <is>
          <t>Carlos</t>
        </is>
      </c>
      <c r="C347" t="inlineStr">
        <is>
          <t>Pérez</t>
        </is>
      </c>
      <c r="D347" t="inlineStr">
        <is>
          <t>Atención al cliente</t>
        </is>
      </c>
      <c r="E347" t="inlineStr">
        <is>
          <t>Customer success</t>
        </is>
      </c>
      <c r="F347" t="inlineStr">
        <is>
          <t>Anuncios internet</t>
        </is>
      </c>
      <c r="G347" t="inlineStr">
        <is>
          <t>Temporal</t>
        </is>
      </c>
      <c r="H347" s="2" t="n">
        <v>44131</v>
      </c>
      <c r="I347" s="2" t="n"/>
      <c r="J347" t="inlineStr">
        <is>
          <t>Activo</t>
        </is>
      </c>
      <c r="K347" s="3" t="n">
        <v>0.5</v>
      </c>
      <c r="L347" s="4" t="n">
        <v>28900</v>
      </c>
      <c r="M347" s="3" t="n">
        <v>0</v>
      </c>
      <c r="N347" s="3" t="n">
        <v>0.304</v>
      </c>
      <c r="O347" s="4">
        <f>ROUND(L347*K347*(1+M347+N347),2)</f>
        <v/>
      </c>
      <c r="P347" t="inlineStr">
        <is>
          <t>Ana Torres</t>
        </is>
      </c>
      <c r="Q347" t="inlineStr">
        <is>
          <t>España</t>
        </is>
      </c>
      <c r="R347" t="inlineStr">
        <is>
          <t>Barcelona</t>
        </is>
      </c>
    </row>
    <row r="348">
      <c r="A348" t="inlineStr">
        <is>
          <t>EMP-0347</t>
        </is>
      </c>
      <c r="B348" t="inlineStr">
        <is>
          <t>David</t>
        </is>
      </c>
      <c r="C348" t="inlineStr">
        <is>
          <t>Molina</t>
        </is>
      </c>
      <c r="D348" t="inlineStr">
        <is>
          <t>Finanzas</t>
        </is>
      </c>
      <c r="E348" t="inlineStr">
        <is>
          <t>Controller</t>
        </is>
      </c>
      <c r="F348" t="inlineStr">
        <is>
          <t>Anuncios TV</t>
        </is>
      </c>
      <c r="G348" t="inlineStr">
        <is>
          <t>Freelance</t>
        </is>
      </c>
      <c r="H348" s="2" t="n">
        <v>43526</v>
      </c>
      <c r="I348" s="2" t="n"/>
      <c r="J348" t="inlineStr">
        <is>
          <t>Activo</t>
        </is>
      </c>
      <c r="K348" s="3" t="n">
        <v>0.75</v>
      </c>
      <c r="L348" s="4" t="n">
        <v>24762</v>
      </c>
      <c r="M348" s="3" t="n">
        <v>0.1</v>
      </c>
      <c r="N348" s="3" t="n">
        <v>0.336</v>
      </c>
      <c r="O348" s="4">
        <f>ROUND(L348*K348*(1+M348+N348),2)</f>
        <v/>
      </c>
      <c r="P348" t="inlineStr">
        <is>
          <t>Patricia Romero</t>
        </is>
      </c>
      <c r="Q348" t="inlineStr">
        <is>
          <t>España</t>
        </is>
      </c>
      <c r="R348" t="inlineStr">
        <is>
          <t>Sevilla</t>
        </is>
      </c>
    </row>
    <row r="349">
      <c r="A349" t="inlineStr">
        <is>
          <t>EMP-0348</t>
        </is>
      </c>
      <c r="B349" t="inlineStr">
        <is>
          <t>Carmen</t>
        </is>
      </c>
      <c r="C349" t="inlineStr">
        <is>
          <t>Pérez</t>
        </is>
      </c>
      <c r="D349" t="inlineStr">
        <is>
          <t>Tecnología</t>
        </is>
      </c>
      <c r="E349" t="inlineStr">
        <is>
          <t>QA web</t>
        </is>
      </c>
      <c r="F349" t="inlineStr">
        <is>
          <t>Mantenimiento intranets</t>
        </is>
      </c>
      <c r="G349" t="inlineStr">
        <is>
          <t>Indefinido</t>
        </is>
      </c>
      <c r="H349" s="2" t="n">
        <v>43799</v>
      </c>
      <c r="I349" s="2" t="n">
        <v>44709</v>
      </c>
      <c r="J349" t="inlineStr">
        <is>
          <t>Baja</t>
        </is>
      </c>
      <c r="K349" s="3" t="n">
        <v>1</v>
      </c>
      <c r="L349" s="4" t="n">
        <v>58219</v>
      </c>
      <c r="M349" s="3" t="n">
        <v>0.05</v>
      </c>
      <c r="N349" s="3" t="n">
        <v>0.338</v>
      </c>
      <c r="O349" s="4">
        <f>ROUND(L349*K349*(1+M349+N349),2)</f>
        <v/>
      </c>
      <c r="P349" t="inlineStr">
        <is>
          <t>Patricia Romero</t>
        </is>
      </c>
      <c r="Q349" t="inlineStr">
        <is>
          <t>México</t>
        </is>
      </c>
      <c r="R349" t="inlineStr">
        <is>
          <t>Guadalajara</t>
        </is>
      </c>
    </row>
    <row r="350">
      <c r="A350" t="inlineStr">
        <is>
          <t>EMP-0349</t>
        </is>
      </c>
      <c r="B350" t="inlineStr">
        <is>
          <t>Joel</t>
        </is>
      </c>
      <c r="C350" t="inlineStr">
        <is>
          <t>Serrano</t>
        </is>
      </c>
      <c r="D350" t="inlineStr">
        <is>
          <t>Atención al cliente</t>
        </is>
      </c>
      <c r="E350" t="inlineStr">
        <is>
          <t>Customer success</t>
        </is>
      </c>
      <c r="F350" t="inlineStr">
        <is>
          <t>Anuncios internet</t>
        </is>
      </c>
      <c r="G350" t="inlineStr">
        <is>
          <t>Indefinido</t>
        </is>
      </c>
      <c r="H350" s="2" t="n">
        <v>45411</v>
      </c>
      <c r="I350" s="2" t="n"/>
      <c r="J350" t="inlineStr">
        <is>
          <t>Activo</t>
        </is>
      </c>
      <c r="K350" s="3" t="n">
        <v>1</v>
      </c>
      <c r="L350" s="4" t="n">
        <v>32146</v>
      </c>
      <c r="M350" s="3" t="n">
        <v>0.03</v>
      </c>
      <c r="N350" s="3" t="n">
        <v>0.309</v>
      </c>
      <c r="O350" s="4">
        <f>ROUND(L350*K350*(1+M350+N350),2)</f>
        <v/>
      </c>
      <c r="P350" t="inlineStr">
        <is>
          <t>Ana Torres</t>
        </is>
      </c>
      <c r="Q350" t="inlineStr">
        <is>
          <t>España</t>
        </is>
      </c>
      <c r="R350" t="inlineStr">
        <is>
          <t>Barcelona</t>
        </is>
      </c>
    </row>
    <row r="351">
      <c r="A351" t="inlineStr">
        <is>
          <t>EMP-0350</t>
        </is>
      </c>
      <c r="B351" t="inlineStr">
        <is>
          <t>Diego</t>
        </is>
      </c>
      <c r="C351" t="inlineStr">
        <is>
          <t>Moreno</t>
        </is>
      </c>
      <c r="D351" t="inlineStr">
        <is>
          <t>Finanzas</t>
        </is>
      </c>
      <c r="E351" t="inlineStr">
        <is>
          <t>Analista financiero</t>
        </is>
      </c>
      <c r="F351" t="inlineStr">
        <is>
          <t>Generación de noticias</t>
        </is>
      </c>
      <c r="G351" t="inlineStr">
        <is>
          <t>Indefinido</t>
        </is>
      </c>
      <c r="H351" s="2" t="n">
        <v>45244</v>
      </c>
      <c r="I351" s="2" t="n"/>
      <c r="J351" t="inlineStr">
        <is>
          <t>Activo</t>
        </is>
      </c>
      <c r="K351" s="3" t="n">
        <v>0.75</v>
      </c>
      <c r="L351" s="4" t="n">
        <v>33268</v>
      </c>
      <c r="M351" s="3" t="n">
        <v>0.03</v>
      </c>
      <c r="N351" s="3" t="n">
        <v>0.308</v>
      </c>
      <c r="O351" s="4">
        <f>ROUND(L351*K351*(1+M351+N351),2)</f>
        <v/>
      </c>
      <c r="P351" t="inlineStr">
        <is>
          <t>Jorge Molina</t>
        </is>
      </c>
      <c r="Q351" t="inlineStr">
        <is>
          <t>España</t>
        </is>
      </c>
      <c r="R351" t="inlineStr">
        <is>
          <t>Valencia</t>
        </is>
      </c>
    </row>
    <row r="352">
      <c r="A352" t="inlineStr">
        <is>
          <t>EMP-0351</t>
        </is>
      </c>
      <c r="B352" t="inlineStr">
        <is>
          <t>Claudia</t>
        </is>
      </c>
      <c r="C352" t="inlineStr">
        <is>
          <t>Serrano</t>
        </is>
      </c>
      <c r="D352" t="inlineStr">
        <is>
          <t>Finanzas</t>
        </is>
      </c>
      <c r="E352" t="inlineStr">
        <is>
          <t>Analista financiero</t>
        </is>
      </c>
      <c r="F352" t="inlineStr">
        <is>
          <t>Anuncios internet</t>
        </is>
      </c>
      <c r="G352" t="inlineStr">
        <is>
          <t>Indefinido</t>
        </is>
      </c>
      <c r="H352" s="2" t="n">
        <v>43130</v>
      </c>
      <c r="I352" s="2" t="n"/>
      <c r="J352" t="inlineStr">
        <is>
          <t>Activo</t>
        </is>
      </c>
      <c r="K352" s="3" t="n">
        <v>0.75</v>
      </c>
      <c r="L352" s="4" t="n">
        <v>35491</v>
      </c>
      <c r="M352" s="3" t="n">
        <v>0.08</v>
      </c>
      <c r="N352" s="3" t="n">
        <v>0.306</v>
      </c>
      <c r="O352" s="4">
        <f>ROUND(L352*K352*(1+M352+N352),2)</f>
        <v/>
      </c>
      <c r="P352" t="inlineStr">
        <is>
          <t>Luis Gómez</t>
        </is>
      </c>
      <c r="Q352" t="inlineStr">
        <is>
          <t>España</t>
        </is>
      </c>
      <c r="R352" t="inlineStr">
        <is>
          <t>Sevilla</t>
        </is>
      </c>
    </row>
    <row r="353">
      <c r="A353" t="inlineStr">
        <is>
          <t>EMP-0352</t>
        </is>
      </c>
      <c r="B353" t="inlineStr">
        <is>
          <t>Víctor</t>
        </is>
      </c>
      <c r="C353" t="inlineStr">
        <is>
          <t>Ortega</t>
        </is>
      </c>
      <c r="D353" t="inlineStr">
        <is>
          <t>RRHH</t>
        </is>
      </c>
      <c r="E353" t="inlineStr">
        <is>
          <t>Recruitment marketer</t>
        </is>
      </c>
      <c r="F353" t="inlineStr">
        <is>
          <t>Anuncios prensa</t>
        </is>
      </c>
      <c r="G353" t="inlineStr">
        <is>
          <t>Indefinido</t>
        </is>
      </c>
      <c r="H353" s="2" t="n">
        <v>45612</v>
      </c>
      <c r="I353" s="2" t="n"/>
      <c r="J353" t="inlineStr">
        <is>
          <t>Activo</t>
        </is>
      </c>
      <c r="K353" s="3" t="n">
        <v>1</v>
      </c>
      <c r="L353" s="4" t="n">
        <v>31328</v>
      </c>
      <c r="M353" s="3" t="n">
        <v>0.1</v>
      </c>
      <c r="N353" s="3" t="n">
        <v>0.325</v>
      </c>
      <c r="O353" s="4">
        <f>ROUND(L353*K353*(1+M353+N353),2)</f>
        <v/>
      </c>
      <c r="P353" t="inlineStr">
        <is>
          <t>Fernando Ruiz</t>
        </is>
      </c>
      <c r="Q353" t="inlineStr">
        <is>
          <t>España</t>
        </is>
      </c>
      <c r="R353" t="inlineStr">
        <is>
          <t>Madrid</t>
        </is>
      </c>
    </row>
    <row r="354">
      <c r="A354" t="inlineStr">
        <is>
          <t>EMP-0353</t>
        </is>
      </c>
      <c r="B354" t="inlineStr">
        <is>
          <t>Álvaro</t>
        </is>
      </c>
      <c r="C354" t="inlineStr">
        <is>
          <t>Ortega</t>
        </is>
      </c>
      <c r="D354" t="inlineStr">
        <is>
          <t>Tecnología</t>
        </is>
      </c>
      <c r="E354" t="inlineStr">
        <is>
          <t>Desarrollador web</t>
        </is>
      </c>
      <c r="F354" t="inlineStr">
        <is>
          <t>Traducciones</t>
        </is>
      </c>
      <c r="G354" t="inlineStr">
        <is>
          <t>Indefinido</t>
        </is>
      </c>
      <c r="H354" s="2" t="n">
        <v>44955</v>
      </c>
      <c r="I354" s="2" t="n"/>
      <c r="J354" t="inlineStr">
        <is>
          <t>Activo</t>
        </is>
      </c>
      <c r="K354" s="3" t="n">
        <v>1</v>
      </c>
      <c r="L354" s="4" t="n">
        <v>43659</v>
      </c>
      <c r="M354" s="3" t="n">
        <v>0.03</v>
      </c>
      <c r="N354" s="3" t="n">
        <v>0.281</v>
      </c>
      <c r="O354" s="4">
        <f>ROUND(L354*K354*(1+M354+N354),2)</f>
        <v/>
      </c>
      <c r="P354" t="inlineStr">
        <is>
          <t>Silvia Navarro</t>
        </is>
      </c>
      <c r="Q354" t="inlineStr">
        <is>
          <t>España</t>
        </is>
      </c>
      <c r="R354" t="inlineStr">
        <is>
          <t>Valencia</t>
        </is>
      </c>
    </row>
    <row r="355">
      <c r="A355" t="inlineStr">
        <is>
          <t>EMP-0354</t>
        </is>
      </c>
      <c r="B355" t="inlineStr">
        <is>
          <t>Rubén</t>
        </is>
      </c>
      <c r="C355" t="inlineStr">
        <is>
          <t>Pérez</t>
        </is>
      </c>
      <c r="D355" t="inlineStr">
        <is>
          <t>Operaciones</t>
        </is>
      </c>
      <c r="E355" t="inlineStr">
        <is>
          <t>Especialista de cuentas</t>
        </is>
      </c>
      <c r="F355" t="inlineStr">
        <is>
          <t>Publicación de noticias</t>
        </is>
      </c>
      <c r="G355" t="inlineStr">
        <is>
          <t>Indefinido</t>
        </is>
      </c>
      <c r="H355" s="2" t="n">
        <v>43134</v>
      </c>
      <c r="I355" s="2" t="n"/>
      <c r="J355" t="inlineStr">
        <is>
          <t>Activo</t>
        </is>
      </c>
      <c r="K355" s="3" t="n">
        <v>0.75</v>
      </c>
      <c r="L355" s="4" t="n">
        <v>22482</v>
      </c>
      <c r="M355" s="3" t="n">
        <v>0.05</v>
      </c>
      <c r="N355" s="3" t="n">
        <v>0.293</v>
      </c>
      <c r="O355" s="4">
        <f>ROUND(L355*K355*(1+M355+N355),2)</f>
        <v/>
      </c>
      <c r="P355" t="inlineStr">
        <is>
          <t>Patricia Romero</t>
        </is>
      </c>
      <c r="Q355" t="inlineStr">
        <is>
          <t>Chile</t>
        </is>
      </c>
      <c r="R355" t="inlineStr">
        <is>
          <t>Santiago</t>
        </is>
      </c>
    </row>
    <row r="356">
      <c r="A356" t="inlineStr">
        <is>
          <t>EMP-0355</t>
        </is>
      </c>
      <c r="B356" t="inlineStr">
        <is>
          <t>Marcos</t>
        </is>
      </c>
      <c r="C356" t="inlineStr">
        <is>
          <t>López</t>
        </is>
      </c>
      <c r="D356" t="inlineStr">
        <is>
          <t>Finanzas</t>
        </is>
      </c>
      <c r="E356" t="inlineStr">
        <is>
          <t>Controller</t>
        </is>
      </c>
      <c r="F356" t="inlineStr">
        <is>
          <t>Anuncios RRHH</t>
        </is>
      </c>
      <c r="G356" t="inlineStr">
        <is>
          <t>Temporal</t>
        </is>
      </c>
      <c r="H356" s="2" t="n">
        <v>43699</v>
      </c>
      <c r="I356" s="2" t="n">
        <v>44682</v>
      </c>
      <c r="J356" t="inlineStr">
        <is>
          <t>Baja</t>
        </is>
      </c>
      <c r="K356" s="3" t="n">
        <v>0.5</v>
      </c>
      <c r="L356" s="4" t="n">
        <v>39799</v>
      </c>
      <c r="M356" s="3" t="n">
        <v>0.05</v>
      </c>
      <c r="N356" s="3" t="n">
        <v>0.291</v>
      </c>
      <c r="O356" s="4">
        <f>ROUND(L356*K356*(1+M356+N356),2)</f>
        <v/>
      </c>
      <c r="P356" t="inlineStr">
        <is>
          <t>Fernando Ruiz</t>
        </is>
      </c>
      <c r="Q356" t="inlineStr">
        <is>
          <t>España</t>
        </is>
      </c>
      <c r="R356" t="inlineStr">
        <is>
          <t>Madrid</t>
        </is>
      </c>
    </row>
    <row r="357">
      <c r="A357" t="inlineStr">
        <is>
          <t>EMP-0356</t>
        </is>
      </c>
      <c r="B357" t="inlineStr">
        <is>
          <t>Andrea</t>
        </is>
      </c>
      <c r="C357" t="inlineStr">
        <is>
          <t>Molina</t>
        </is>
      </c>
      <c r="D357" t="inlineStr">
        <is>
          <t>Operaciones</t>
        </is>
      </c>
      <c r="E357" t="inlineStr">
        <is>
          <t>Coordinador de operaciones</t>
        </is>
      </c>
      <c r="F357" t="inlineStr">
        <is>
          <t>Traducciones</t>
        </is>
      </c>
      <c r="G357" t="inlineStr">
        <is>
          <t>Freelance</t>
        </is>
      </c>
      <c r="H357" s="2" t="n">
        <v>44113</v>
      </c>
      <c r="I357" s="2" t="n"/>
      <c r="J357" t="inlineStr">
        <is>
          <t>Activo</t>
        </is>
      </c>
      <c r="K357" s="3" t="n">
        <v>0.5</v>
      </c>
      <c r="L357" s="4" t="n">
        <v>28526</v>
      </c>
      <c r="M357" s="3" t="n">
        <v>0.05</v>
      </c>
      <c r="N357" s="3" t="n">
        <v>0.324</v>
      </c>
      <c r="O357" s="4">
        <f>ROUND(L357*K357*(1+M357+N357),2)</f>
        <v/>
      </c>
      <c r="P357" t="inlineStr">
        <is>
          <t>Silvia Navarro</t>
        </is>
      </c>
      <c r="Q357" t="inlineStr">
        <is>
          <t>Chile</t>
        </is>
      </c>
      <c r="R357" t="inlineStr">
        <is>
          <t>Santiago</t>
        </is>
      </c>
    </row>
    <row r="358">
      <c r="A358" t="inlineStr">
        <is>
          <t>EMP-0357</t>
        </is>
      </c>
      <c r="B358" t="inlineStr">
        <is>
          <t>Alicia</t>
        </is>
      </c>
      <c r="C358" t="inlineStr">
        <is>
          <t>Gómez</t>
        </is>
      </c>
      <c r="D358" t="inlineStr">
        <is>
          <t>Tecnología</t>
        </is>
      </c>
      <c r="E358" t="inlineStr">
        <is>
          <t>Administrador intranet</t>
        </is>
      </c>
      <c r="F358" t="inlineStr">
        <is>
          <t>Anuncios internet</t>
        </is>
      </c>
      <c r="G358" t="inlineStr">
        <is>
          <t>Indefinido</t>
        </is>
      </c>
      <c r="H358" s="2" t="n">
        <v>43273</v>
      </c>
      <c r="I358" s="2" t="n"/>
      <c r="J358" t="inlineStr">
        <is>
          <t>Activo</t>
        </is>
      </c>
      <c r="K358" s="3" t="n">
        <v>1</v>
      </c>
      <c r="L358" s="4" t="n">
        <v>44069</v>
      </c>
      <c r="M358" s="3" t="n">
        <v>0.03</v>
      </c>
      <c r="N358" s="3" t="n">
        <v>0.309</v>
      </c>
      <c r="O358" s="4">
        <f>ROUND(L358*K358*(1+M358+N358),2)</f>
        <v/>
      </c>
      <c r="P358" t="inlineStr">
        <is>
          <t>Luis Gómez</t>
        </is>
      </c>
      <c r="Q358" t="inlineStr">
        <is>
          <t>España</t>
        </is>
      </c>
      <c r="R358" t="inlineStr">
        <is>
          <t>Valencia</t>
        </is>
      </c>
    </row>
    <row r="359">
      <c r="A359" t="inlineStr">
        <is>
          <t>EMP-0358</t>
        </is>
      </c>
      <c r="B359" t="inlineStr">
        <is>
          <t>Álvaro</t>
        </is>
      </c>
      <c r="C359" t="inlineStr">
        <is>
          <t>Ruiz</t>
        </is>
      </c>
      <c r="D359" t="inlineStr">
        <is>
          <t>Marketing</t>
        </is>
      </c>
      <c r="E359" t="inlineStr">
        <is>
          <t>Especialista SEM</t>
        </is>
      </c>
      <c r="F359" t="inlineStr">
        <is>
          <t>Mantenimiento web</t>
        </is>
      </c>
      <c r="G359" t="inlineStr">
        <is>
          <t>Indefinido</t>
        </is>
      </c>
      <c r="H359" s="2" t="n">
        <v>44430</v>
      </c>
      <c r="I359" s="2" t="n">
        <v>45175</v>
      </c>
      <c r="J359" t="inlineStr">
        <is>
          <t>Baja</t>
        </is>
      </c>
      <c r="K359" s="3" t="n">
        <v>1</v>
      </c>
      <c r="L359" s="4" t="n">
        <v>33162</v>
      </c>
      <c r="M359" s="3" t="n">
        <v>0.12</v>
      </c>
      <c r="N359" s="3" t="n">
        <v>0.295</v>
      </c>
      <c r="O359" s="4">
        <f>ROUND(L359*K359*(1+M359+N359),2)</f>
        <v/>
      </c>
      <c r="P359" t="inlineStr">
        <is>
          <t>Silvia Navarro</t>
        </is>
      </c>
      <c r="Q359" t="inlineStr">
        <is>
          <t>Colombia</t>
        </is>
      </c>
      <c r="R359" t="inlineStr">
        <is>
          <t>Bogotá</t>
        </is>
      </c>
    </row>
    <row r="360">
      <c r="A360" t="inlineStr">
        <is>
          <t>EMP-0359</t>
        </is>
      </c>
      <c r="B360" t="inlineStr">
        <is>
          <t>Sergio</t>
        </is>
      </c>
      <c r="C360" t="inlineStr">
        <is>
          <t>Gómez</t>
        </is>
      </c>
      <c r="D360" t="inlineStr">
        <is>
          <t>Finanzas</t>
        </is>
      </c>
      <c r="E360" t="inlineStr">
        <is>
          <t>Técnico de facturación</t>
        </is>
      </c>
      <c r="F360" t="inlineStr">
        <is>
          <t>Publicación de noticias</t>
        </is>
      </c>
      <c r="G360" t="inlineStr">
        <is>
          <t>Indefinido</t>
        </is>
      </c>
      <c r="H360" s="2" t="n">
        <v>45634</v>
      </c>
      <c r="I360" s="2" t="n"/>
      <c r="J360" t="inlineStr">
        <is>
          <t>Activo</t>
        </is>
      </c>
      <c r="K360" s="3" t="n">
        <v>0.5</v>
      </c>
      <c r="L360" s="4" t="n">
        <v>23958</v>
      </c>
      <c r="M360" s="3" t="n">
        <v>0.03</v>
      </c>
      <c r="N360" s="3" t="n">
        <v>0.319</v>
      </c>
      <c r="O360" s="4">
        <f>ROUND(L360*K360*(1+M360+N360),2)</f>
        <v/>
      </c>
      <c r="P360" t="inlineStr">
        <is>
          <t>Silvia Navarro</t>
        </is>
      </c>
      <c r="Q360" t="inlineStr">
        <is>
          <t>España</t>
        </is>
      </c>
      <c r="R360" t="inlineStr">
        <is>
          <t>Madrid</t>
        </is>
      </c>
    </row>
    <row r="361">
      <c r="A361" t="inlineStr">
        <is>
          <t>EMP-0360</t>
        </is>
      </c>
      <c r="B361" t="inlineStr">
        <is>
          <t>Gonzalo</t>
        </is>
      </c>
      <c r="C361" t="inlineStr">
        <is>
          <t>Blanco</t>
        </is>
      </c>
      <c r="D361" t="inlineStr">
        <is>
          <t>Redacción</t>
        </is>
      </c>
      <c r="E361" t="inlineStr">
        <is>
          <t>Editor</t>
        </is>
      </c>
      <c r="F361" t="inlineStr">
        <is>
          <t>Publicación de noticias</t>
        </is>
      </c>
      <c r="G361" t="inlineStr">
        <is>
          <t>Indefinido</t>
        </is>
      </c>
      <c r="H361" s="2" t="n">
        <v>44523</v>
      </c>
      <c r="I361" s="2" t="n"/>
      <c r="J361" t="inlineStr">
        <is>
          <t>Activo</t>
        </is>
      </c>
      <c r="K361" s="3" t="n">
        <v>1</v>
      </c>
      <c r="L361" s="4" t="n">
        <v>46025</v>
      </c>
      <c r="M361" s="3" t="n">
        <v>0</v>
      </c>
      <c r="N361" s="3" t="n">
        <v>0.281</v>
      </c>
      <c r="O361" s="4">
        <f>ROUND(L361*K361*(1+M361+N361),2)</f>
        <v/>
      </c>
      <c r="P361" t="inlineStr">
        <is>
          <t>Patricia Romero</t>
        </is>
      </c>
      <c r="Q361" t="inlineStr">
        <is>
          <t>España</t>
        </is>
      </c>
      <c r="R361" t="inlineStr">
        <is>
          <t>Valencia</t>
        </is>
      </c>
    </row>
    <row r="362">
      <c r="A362" t="inlineStr">
        <is>
          <t>EMP-0361</t>
        </is>
      </c>
      <c r="B362" t="inlineStr">
        <is>
          <t>Sara</t>
        </is>
      </c>
      <c r="C362" t="inlineStr">
        <is>
          <t>Ramos</t>
        </is>
      </c>
      <c r="D362" t="inlineStr">
        <is>
          <t>Traducción</t>
        </is>
      </c>
      <c r="E362" t="inlineStr">
        <is>
          <t>Revisor lingüístico</t>
        </is>
      </c>
      <c r="F362" t="inlineStr">
        <is>
          <t>Generación de noticias</t>
        </is>
      </c>
      <c r="G362" t="inlineStr">
        <is>
          <t>Indefinido</t>
        </is>
      </c>
      <c r="H362" s="2" t="n">
        <v>45108</v>
      </c>
      <c r="I362" s="2" t="n"/>
      <c r="J362" t="inlineStr">
        <is>
          <t>Activo</t>
        </is>
      </c>
      <c r="K362" s="3" t="n">
        <v>0.75</v>
      </c>
      <c r="L362" s="4" t="n">
        <v>39813</v>
      </c>
      <c r="M362" s="3" t="n">
        <v>0.03</v>
      </c>
      <c r="N362" s="3" t="n">
        <v>0.299</v>
      </c>
      <c r="O362" s="4">
        <f>ROUND(L362*K362*(1+M362+N362),2)</f>
        <v/>
      </c>
      <c r="P362" t="inlineStr">
        <is>
          <t>Patricia Romero</t>
        </is>
      </c>
      <c r="Q362" t="inlineStr">
        <is>
          <t>Colombia</t>
        </is>
      </c>
      <c r="R362" t="inlineStr">
        <is>
          <t>Medellín</t>
        </is>
      </c>
    </row>
    <row r="363">
      <c r="A363" t="inlineStr">
        <is>
          <t>EMP-0362</t>
        </is>
      </c>
      <c r="B363" t="inlineStr">
        <is>
          <t>Sara</t>
        </is>
      </c>
      <c r="C363" t="inlineStr">
        <is>
          <t>Moreno</t>
        </is>
      </c>
      <c r="D363" t="inlineStr">
        <is>
          <t>Atención al cliente</t>
        </is>
      </c>
      <c r="E363" t="inlineStr">
        <is>
          <t>Account support</t>
        </is>
      </c>
      <c r="F363" t="inlineStr">
        <is>
          <t>Publicación de noticias</t>
        </is>
      </c>
      <c r="G363" t="inlineStr">
        <is>
          <t>Temporal</t>
        </is>
      </c>
      <c r="H363" s="2" t="n">
        <v>45319</v>
      </c>
      <c r="I363" s="2" t="n"/>
      <c r="J363" t="inlineStr">
        <is>
          <t>Activo</t>
        </is>
      </c>
      <c r="K363" s="3" t="n">
        <v>0.5</v>
      </c>
      <c r="L363" s="4" t="n">
        <v>47425</v>
      </c>
      <c r="M363" s="3" t="n">
        <v>0.1</v>
      </c>
      <c r="N363" s="3" t="n">
        <v>0.31</v>
      </c>
      <c r="O363" s="4">
        <f>ROUND(L363*K363*(1+M363+N363),2)</f>
        <v/>
      </c>
      <c r="P363" t="inlineStr">
        <is>
          <t>Luis Gómez</t>
        </is>
      </c>
      <c r="Q363" t="inlineStr">
        <is>
          <t>España</t>
        </is>
      </c>
      <c r="R363" t="inlineStr">
        <is>
          <t>Barcelona</t>
        </is>
      </c>
    </row>
    <row r="364">
      <c r="A364" t="inlineStr">
        <is>
          <t>EMP-0363</t>
        </is>
      </c>
      <c r="B364" t="inlineStr">
        <is>
          <t>Alicia</t>
        </is>
      </c>
      <c r="C364" t="inlineStr">
        <is>
          <t>Suárez</t>
        </is>
      </c>
      <c r="D364" t="inlineStr">
        <is>
          <t>Operaciones</t>
        </is>
      </c>
      <c r="E364" t="inlineStr">
        <is>
          <t>Project manager</t>
        </is>
      </c>
      <c r="F364" t="inlineStr">
        <is>
          <t>Anuncios RRHH</t>
        </is>
      </c>
      <c r="G364" t="inlineStr">
        <is>
          <t>Indefinido</t>
        </is>
      </c>
      <c r="H364" s="2" t="n">
        <v>45308</v>
      </c>
      <c r="I364" s="2" t="n"/>
      <c r="J364" t="inlineStr">
        <is>
          <t>Activo</t>
        </is>
      </c>
      <c r="K364" s="3" t="n">
        <v>0.75</v>
      </c>
      <c r="L364" s="4" t="n">
        <v>39172</v>
      </c>
      <c r="M364" s="3" t="n">
        <v>0.1</v>
      </c>
      <c r="N364" s="3" t="n">
        <v>0.31</v>
      </c>
      <c r="O364" s="4">
        <f>ROUND(L364*K364*(1+M364+N364),2)</f>
        <v/>
      </c>
      <c r="P364" t="inlineStr">
        <is>
          <t>Luis Gómez</t>
        </is>
      </c>
      <c r="Q364" t="inlineStr">
        <is>
          <t>México</t>
        </is>
      </c>
      <c r="R364" t="inlineStr">
        <is>
          <t>Ciudad de México</t>
        </is>
      </c>
    </row>
    <row r="365">
      <c r="A365" t="inlineStr">
        <is>
          <t>EMP-0364</t>
        </is>
      </c>
      <c r="B365" t="inlineStr">
        <is>
          <t>Álvaro</t>
        </is>
      </c>
      <c r="C365" t="inlineStr">
        <is>
          <t>Sánchez</t>
        </is>
      </c>
      <c r="D365" t="inlineStr">
        <is>
          <t>Comercial</t>
        </is>
      </c>
      <c r="E365" t="inlineStr">
        <is>
          <t>Ejecutivo de cuentas</t>
        </is>
      </c>
      <c r="F365" t="inlineStr">
        <is>
          <t>Anuncios RRHH</t>
        </is>
      </c>
      <c r="G365" t="inlineStr">
        <is>
          <t>Indefinido</t>
        </is>
      </c>
      <c r="H365" s="2" t="n">
        <v>43374</v>
      </c>
      <c r="I365" s="2" t="n">
        <v>43819</v>
      </c>
      <c r="J365" t="inlineStr">
        <is>
          <t>Baja</t>
        </is>
      </c>
      <c r="K365" s="3" t="n">
        <v>0.75</v>
      </c>
      <c r="L365" s="4" t="n">
        <v>54878</v>
      </c>
      <c r="M365" s="3" t="n">
        <v>0</v>
      </c>
      <c r="N365" s="3" t="n">
        <v>0.286</v>
      </c>
      <c r="O365" s="4">
        <f>ROUND(L365*K365*(1+M365+N365),2)</f>
        <v/>
      </c>
      <c r="P365" t="inlineStr">
        <is>
          <t>Ana Torres</t>
        </is>
      </c>
      <c r="Q365" t="inlineStr">
        <is>
          <t>España</t>
        </is>
      </c>
      <c r="R365" t="inlineStr">
        <is>
          <t>Valencia</t>
        </is>
      </c>
    </row>
    <row r="366">
      <c r="A366" t="inlineStr">
        <is>
          <t>EMP-0365</t>
        </is>
      </c>
      <c r="B366" t="inlineStr">
        <is>
          <t>Javier</t>
        </is>
      </c>
      <c r="C366" t="inlineStr">
        <is>
          <t>Romero</t>
        </is>
      </c>
      <c r="D366" t="inlineStr">
        <is>
          <t>Operaciones</t>
        </is>
      </c>
      <c r="E366" t="inlineStr">
        <is>
          <t>Project manager</t>
        </is>
      </c>
      <c r="F366" t="inlineStr">
        <is>
          <t>Anuncios prensa</t>
        </is>
      </c>
      <c r="G366" t="inlineStr">
        <is>
          <t>Indefinido</t>
        </is>
      </c>
      <c r="H366" s="2" t="n">
        <v>43391</v>
      </c>
      <c r="I366" s="2" t="n">
        <v>43998</v>
      </c>
      <c r="J366" t="inlineStr">
        <is>
          <t>Baja</t>
        </is>
      </c>
      <c r="K366" s="3" t="n">
        <v>1</v>
      </c>
      <c r="L366" s="4" t="n">
        <v>51155</v>
      </c>
      <c r="M366" s="3" t="n">
        <v>0.12</v>
      </c>
      <c r="N366" s="3" t="n">
        <v>0.285</v>
      </c>
      <c r="O366" s="4">
        <f>ROUND(L366*K366*(1+M366+N366),2)</f>
        <v/>
      </c>
      <c r="P366" t="inlineStr">
        <is>
          <t>Ana Torres</t>
        </is>
      </c>
      <c r="Q366" t="inlineStr">
        <is>
          <t>Portugal</t>
        </is>
      </c>
      <c r="R366" t="inlineStr">
        <is>
          <t>Oporto</t>
        </is>
      </c>
    </row>
    <row r="367">
      <c r="A367" t="inlineStr">
        <is>
          <t>EMP-0366</t>
        </is>
      </c>
      <c r="B367" t="inlineStr">
        <is>
          <t>Adrián</t>
        </is>
      </c>
      <c r="C367" t="inlineStr">
        <is>
          <t>Blanco</t>
        </is>
      </c>
      <c r="D367" t="inlineStr">
        <is>
          <t>Marketing</t>
        </is>
      </c>
      <c r="E367" t="inlineStr">
        <is>
          <t>Especialista SEM</t>
        </is>
      </c>
      <c r="F367" t="inlineStr">
        <is>
          <t>Anuncios TV</t>
        </is>
      </c>
      <c r="G367" t="inlineStr">
        <is>
          <t>Indefinido</t>
        </is>
      </c>
      <c r="H367" s="2" t="n">
        <v>45627</v>
      </c>
      <c r="I367" s="2" t="n"/>
      <c r="J367" t="inlineStr">
        <is>
          <t>Activo</t>
        </is>
      </c>
      <c r="K367" s="3" t="n">
        <v>0.5</v>
      </c>
      <c r="L367" s="4" t="n">
        <v>50637</v>
      </c>
      <c r="M367" s="3" t="n">
        <v>0.12</v>
      </c>
      <c r="N367" s="3" t="n">
        <v>0.298</v>
      </c>
      <c r="O367" s="4">
        <f>ROUND(L367*K367*(1+M367+N367),2)</f>
        <v/>
      </c>
      <c r="P367" t="inlineStr">
        <is>
          <t>Silvia Navarro</t>
        </is>
      </c>
      <c r="Q367" t="inlineStr">
        <is>
          <t>México</t>
        </is>
      </c>
      <c r="R367" t="inlineStr">
        <is>
          <t>Guadalajara</t>
        </is>
      </c>
    </row>
    <row r="368">
      <c r="A368" t="inlineStr">
        <is>
          <t>EMP-0367</t>
        </is>
      </c>
      <c r="B368" t="inlineStr">
        <is>
          <t>Laura</t>
        </is>
      </c>
      <c r="C368" t="inlineStr">
        <is>
          <t>Fernández</t>
        </is>
      </c>
      <c r="D368" t="inlineStr">
        <is>
          <t>Redacción</t>
        </is>
      </c>
      <c r="E368" t="inlineStr">
        <is>
          <t>Content manager</t>
        </is>
      </c>
      <c r="F368" t="inlineStr">
        <is>
          <t>Traducciones</t>
        </is>
      </c>
      <c r="G368" t="inlineStr">
        <is>
          <t>Indefinido</t>
        </is>
      </c>
      <c r="H368" s="2" t="n">
        <v>44119</v>
      </c>
      <c r="I368" s="2" t="n"/>
      <c r="J368" t="inlineStr">
        <is>
          <t>Activo</t>
        </is>
      </c>
      <c r="K368" s="3" t="n">
        <v>0.75</v>
      </c>
      <c r="L368" s="4" t="n">
        <v>40298</v>
      </c>
      <c r="M368" s="3" t="n">
        <v>0.1</v>
      </c>
      <c r="N368" s="3" t="n">
        <v>0.313</v>
      </c>
      <c r="O368" s="4">
        <f>ROUND(L368*K368*(1+M368+N368),2)</f>
        <v/>
      </c>
      <c r="P368" t="inlineStr">
        <is>
          <t>Ana Torres</t>
        </is>
      </c>
      <c r="Q368" t="inlineStr">
        <is>
          <t>México</t>
        </is>
      </c>
      <c r="R368" t="inlineStr">
        <is>
          <t>Guadalajara</t>
        </is>
      </c>
    </row>
    <row r="369">
      <c r="A369" t="inlineStr">
        <is>
          <t>EMP-0368</t>
        </is>
      </c>
      <c r="B369" t="inlineStr">
        <is>
          <t>Paula</t>
        </is>
      </c>
      <c r="C369" t="inlineStr">
        <is>
          <t>Gómez</t>
        </is>
      </c>
      <c r="D369" t="inlineStr">
        <is>
          <t>Marketing</t>
        </is>
      </c>
      <c r="E369" t="inlineStr">
        <is>
          <t>Media planner</t>
        </is>
      </c>
      <c r="F369" t="inlineStr">
        <is>
          <t>Anuncios internet</t>
        </is>
      </c>
      <c r="G369" t="inlineStr">
        <is>
          <t>Temporal</t>
        </is>
      </c>
      <c r="H369" s="2" t="n">
        <v>45353</v>
      </c>
      <c r="I369" s="2" t="n"/>
      <c r="J369" t="inlineStr">
        <is>
          <t>Activo</t>
        </is>
      </c>
      <c r="K369" s="3" t="n">
        <v>1</v>
      </c>
      <c r="L369" s="4" t="n">
        <v>48841</v>
      </c>
      <c r="M369" s="3" t="n">
        <v>0.08</v>
      </c>
      <c r="N369" s="3" t="n">
        <v>0.34</v>
      </c>
      <c r="O369" s="4">
        <f>ROUND(L369*K369*(1+M369+N369),2)</f>
        <v/>
      </c>
      <c r="P369" t="inlineStr">
        <is>
          <t>Patricia Romero</t>
        </is>
      </c>
      <c r="Q369" t="inlineStr">
        <is>
          <t>México</t>
        </is>
      </c>
      <c r="R369" t="inlineStr">
        <is>
          <t>Guadalajara</t>
        </is>
      </c>
    </row>
    <row r="370">
      <c r="A370" t="inlineStr">
        <is>
          <t>EMP-0369</t>
        </is>
      </c>
      <c r="B370" t="inlineStr">
        <is>
          <t>Adrián</t>
        </is>
      </c>
      <c r="C370" t="inlineStr">
        <is>
          <t>Navarro</t>
        </is>
      </c>
      <c r="D370" t="inlineStr">
        <is>
          <t>Marketing</t>
        </is>
      </c>
      <c r="E370" t="inlineStr">
        <is>
          <t>Media planner</t>
        </is>
      </c>
      <c r="F370" t="inlineStr">
        <is>
          <t>Anuncios TV</t>
        </is>
      </c>
      <c r="G370" t="inlineStr">
        <is>
          <t>Temporal</t>
        </is>
      </c>
      <c r="H370" s="2" t="n">
        <v>44864</v>
      </c>
      <c r="I370" s="2" t="n"/>
      <c r="J370" t="inlineStr">
        <is>
          <t>Activo</t>
        </is>
      </c>
      <c r="K370" s="3" t="n">
        <v>1</v>
      </c>
      <c r="L370" s="4" t="n">
        <v>47907</v>
      </c>
      <c r="M370" s="3" t="n">
        <v>0.08</v>
      </c>
      <c r="N370" s="3" t="n">
        <v>0.313</v>
      </c>
      <c r="O370" s="4">
        <f>ROUND(L370*K370*(1+M370+N370),2)</f>
        <v/>
      </c>
      <c r="P370" t="inlineStr">
        <is>
          <t>Silvia Navarro</t>
        </is>
      </c>
      <c r="Q370" t="inlineStr">
        <is>
          <t>Chile</t>
        </is>
      </c>
      <c r="R370" t="inlineStr">
        <is>
          <t>Santiago</t>
        </is>
      </c>
    </row>
    <row r="371">
      <c r="A371" t="inlineStr">
        <is>
          <t>EMP-0370</t>
        </is>
      </c>
      <c r="B371" t="inlineStr">
        <is>
          <t>Raúl</t>
        </is>
      </c>
      <c r="C371" t="inlineStr">
        <is>
          <t>García</t>
        </is>
      </c>
      <c r="D371" t="inlineStr">
        <is>
          <t>Comercial</t>
        </is>
      </c>
      <c r="E371" t="inlineStr">
        <is>
          <t>Ejecutivo de cuentas</t>
        </is>
      </c>
      <c r="F371" t="inlineStr">
        <is>
          <t>Anuncios RRHH</t>
        </is>
      </c>
      <c r="G371" t="inlineStr">
        <is>
          <t>Temporal</t>
        </is>
      </c>
      <c r="H371" s="2" t="n">
        <v>44266</v>
      </c>
      <c r="I371" s="2" t="n"/>
      <c r="J371" t="inlineStr">
        <is>
          <t>Activo</t>
        </is>
      </c>
      <c r="K371" s="3" t="n">
        <v>1</v>
      </c>
      <c r="L371" s="4" t="n">
        <v>37719</v>
      </c>
      <c r="M371" s="3" t="n">
        <v>0.03</v>
      </c>
      <c r="N371" s="3" t="n">
        <v>0.28</v>
      </c>
      <c r="O371" s="4">
        <f>ROUND(L371*K371*(1+M371+N371),2)</f>
        <v/>
      </c>
      <c r="P371" t="inlineStr">
        <is>
          <t>Luis Gómez</t>
        </is>
      </c>
      <c r="Q371" t="inlineStr">
        <is>
          <t>Chile</t>
        </is>
      </c>
      <c r="R371" t="inlineStr">
        <is>
          <t>Santiago</t>
        </is>
      </c>
    </row>
    <row r="372">
      <c r="A372" t="inlineStr">
        <is>
          <t>EMP-0371</t>
        </is>
      </c>
      <c r="B372" t="inlineStr">
        <is>
          <t>Gonzalo</t>
        </is>
      </c>
      <c r="C372" t="inlineStr">
        <is>
          <t>Vázquez</t>
        </is>
      </c>
      <c r="D372" t="inlineStr">
        <is>
          <t>Marketing</t>
        </is>
      </c>
      <c r="E372" t="inlineStr">
        <is>
          <t>Media planner</t>
        </is>
      </c>
      <c r="F372" t="inlineStr">
        <is>
          <t>Mantenimiento web</t>
        </is>
      </c>
      <c r="G372" t="inlineStr">
        <is>
          <t>Indefinido</t>
        </is>
      </c>
      <c r="H372" s="2" t="n">
        <v>45442</v>
      </c>
      <c r="I372" s="2" t="n"/>
      <c r="J372" t="inlineStr">
        <is>
          <t>Activo</t>
        </is>
      </c>
      <c r="K372" s="3" t="n">
        <v>0.5</v>
      </c>
      <c r="L372" s="4" t="n">
        <v>43998</v>
      </c>
      <c r="M372" s="3" t="n">
        <v>0</v>
      </c>
      <c r="N372" s="3" t="n">
        <v>0.288</v>
      </c>
      <c r="O372" s="4">
        <f>ROUND(L372*K372*(1+M372+N372),2)</f>
        <v/>
      </c>
      <c r="P372" t="inlineStr">
        <is>
          <t>Silvia Navarro</t>
        </is>
      </c>
      <c r="Q372" t="inlineStr">
        <is>
          <t>México</t>
        </is>
      </c>
      <c r="R372" t="inlineStr">
        <is>
          <t>Guadalajara</t>
        </is>
      </c>
    </row>
    <row r="373">
      <c r="A373" t="inlineStr">
        <is>
          <t>EMP-0372</t>
        </is>
      </c>
      <c r="B373" t="inlineStr">
        <is>
          <t>Daniel</t>
        </is>
      </c>
      <c r="C373" t="inlineStr">
        <is>
          <t>Gil</t>
        </is>
      </c>
      <c r="D373" t="inlineStr">
        <is>
          <t>Tecnología</t>
        </is>
      </c>
      <c r="E373" t="inlineStr">
        <is>
          <t>QA web</t>
        </is>
      </c>
      <c r="F373" t="inlineStr">
        <is>
          <t>Mantenimiento intranets</t>
        </is>
      </c>
      <c r="G373" t="inlineStr">
        <is>
          <t>Indefinido</t>
        </is>
      </c>
      <c r="H373" s="2" t="n">
        <v>43991</v>
      </c>
      <c r="I373" s="2" t="n"/>
      <c r="J373" t="inlineStr">
        <is>
          <t>Activo</t>
        </is>
      </c>
      <c r="K373" s="3" t="n">
        <v>1</v>
      </c>
      <c r="L373" s="4" t="n">
        <v>55933</v>
      </c>
      <c r="M373" s="3" t="n">
        <v>0</v>
      </c>
      <c r="N373" s="3" t="n">
        <v>0.309</v>
      </c>
      <c r="O373" s="4">
        <f>ROUND(L373*K373*(1+M373+N373),2)</f>
        <v/>
      </c>
      <c r="P373" t="inlineStr">
        <is>
          <t>Jorge Molina</t>
        </is>
      </c>
      <c r="Q373" t="inlineStr">
        <is>
          <t>España</t>
        </is>
      </c>
      <c r="R373" t="inlineStr">
        <is>
          <t>Valencia</t>
        </is>
      </c>
    </row>
    <row r="374">
      <c r="A374" t="inlineStr">
        <is>
          <t>EMP-0373</t>
        </is>
      </c>
      <c r="B374" t="inlineStr">
        <is>
          <t>Daniel</t>
        </is>
      </c>
      <c r="C374" t="inlineStr">
        <is>
          <t>Molina</t>
        </is>
      </c>
      <c r="D374" t="inlineStr">
        <is>
          <t>Redacción</t>
        </is>
      </c>
      <c r="E374" t="inlineStr">
        <is>
          <t>Redactor</t>
        </is>
      </c>
      <c r="F374" t="inlineStr">
        <is>
          <t>Generación de noticias</t>
        </is>
      </c>
      <c r="G374" t="inlineStr">
        <is>
          <t>Indefinido</t>
        </is>
      </c>
      <c r="H374" s="2" t="n">
        <v>44470</v>
      </c>
      <c r="I374" s="2" t="n"/>
      <c r="J374" t="inlineStr">
        <is>
          <t>Activo</t>
        </is>
      </c>
      <c r="K374" s="3" t="n">
        <v>1</v>
      </c>
      <c r="L374" s="4" t="n">
        <v>35648</v>
      </c>
      <c r="M374" s="3" t="n">
        <v>0.12</v>
      </c>
      <c r="N374" s="3" t="n">
        <v>0.287</v>
      </c>
      <c r="O374" s="4">
        <f>ROUND(L374*K374*(1+M374+N374),2)</f>
        <v/>
      </c>
      <c r="P374" t="inlineStr">
        <is>
          <t>Jorge Molina</t>
        </is>
      </c>
      <c r="Q374" t="inlineStr">
        <is>
          <t>España</t>
        </is>
      </c>
      <c r="R374" t="inlineStr">
        <is>
          <t>Sevilla</t>
        </is>
      </c>
    </row>
    <row r="375">
      <c r="A375" t="inlineStr">
        <is>
          <t>EMP-0374</t>
        </is>
      </c>
      <c r="B375" t="inlineStr">
        <is>
          <t>Alicia</t>
        </is>
      </c>
      <c r="C375" t="inlineStr">
        <is>
          <t>Ramos</t>
        </is>
      </c>
      <c r="D375" t="inlineStr">
        <is>
          <t>Operaciones</t>
        </is>
      </c>
      <c r="E375" t="inlineStr">
        <is>
          <t>Especialista de cuentas</t>
        </is>
      </c>
      <c r="F375" t="inlineStr">
        <is>
          <t>Anuncios prensa</t>
        </is>
      </c>
      <c r="G375" t="inlineStr">
        <is>
          <t>Indefinido</t>
        </is>
      </c>
      <c r="H375" s="2" t="n">
        <v>44439</v>
      </c>
      <c r="I375" s="2" t="n"/>
      <c r="J375" t="inlineStr">
        <is>
          <t>Activo</t>
        </is>
      </c>
      <c r="K375" s="3" t="n">
        <v>0.75</v>
      </c>
      <c r="L375" s="4" t="n">
        <v>27019</v>
      </c>
      <c r="M375" s="3" t="n">
        <v>0</v>
      </c>
      <c r="N375" s="3" t="n">
        <v>0.32</v>
      </c>
      <c r="O375" s="4">
        <f>ROUND(L375*K375*(1+M375+N375),2)</f>
        <v/>
      </c>
      <c r="P375" t="inlineStr">
        <is>
          <t>Fernando Ruiz</t>
        </is>
      </c>
      <c r="Q375" t="inlineStr">
        <is>
          <t>España</t>
        </is>
      </c>
      <c r="R375" t="inlineStr">
        <is>
          <t>Madrid</t>
        </is>
      </c>
    </row>
    <row r="376">
      <c r="A376" t="inlineStr">
        <is>
          <t>EMP-0375</t>
        </is>
      </c>
      <c r="B376" t="inlineStr">
        <is>
          <t>Raúl</t>
        </is>
      </c>
      <c r="C376" t="inlineStr">
        <is>
          <t>Pérez</t>
        </is>
      </c>
      <c r="D376" t="inlineStr">
        <is>
          <t>Atención al cliente</t>
        </is>
      </c>
      <c r="E376" t="inlineStr">
        <is>
          <t>Soporte cliente</t>
        </is>
      </c>
      <c r="F376" t="inlineStr">
        <is>
          <t>Traducciones</t>
        </is>
      </c>
      <c r="G376" t="inlineStr">
        <is>
          <t>Indefinido</t>
        </is>
      </c>
      <c r="H376" s="2" t="n">
        <v>43439</v>
      </c>
      <c r="I376" s="2" t="n"/>
      <c r="J376" t="inlineStr">
        <is>
          <t>Activo</t>
        </is>
      </c>
      <c r="K376" s="3" t="n">
        <v>0.5</v>
      </c>
      <c r="L376" s="4" t="n">
        <v>39961</v>
      </c>
      <c r="M376" s="3" t="n">
        <v>0.05</v>
      </c>
      <c r="N376" s="3" t="n">
        <v>0.296</v>
      </c>
      <c r="O376" s="4">
        <f>ROUND(L376*K376*(1+M376+N376),2)</f>
        <v/>
      </c>
      <c r="P376" t="inlineStr">
        <is>
          <t>Silvia Navarro</t>
        </is>
      </c>
      <c r="Q376" t="inlineStr">
        <is>
          <t>España</t>
        </is>
      </c>
      <c r="R376" t="inlineStr">
        <is>
          <t>Valencia</t>
        </is>
      </c>
    </row>
    <row r="377">
      <c r="A377" t="inlineStr">
        <is>
          <t>EMP-0376</t>
        </is>
      </c>
      <c r="B377" t="inlineStr">
        <is>
          <t>Gonzalo</t>
        </is>
      </c>
      <c r="C377" t="inlineStr">
        <is>
          <t>Fernández</t>
        </is>
      </c>
      <c r="D377" t="inlineStr">
        <is>
          <t>RRHH</t>
        </is>
      </c>
      <c r="E377" t="inlineStr">
        <is>
          <t>Especialista RRHH</t>
        </is>
      </c>
      <c r="F377" t="inlineStr">
        <is>
          <t>Publicación de noticias</t>
        </is>
      </c>
      <c r="G377" t="inlineStr">
        <is>
          <t>Indefinido</t>
        </is>
      </c>
      <c r="H377" s="2" t="n">
        <v>45441</v>
      </c>
      <c r="I377" s="2" t="n"/>
      <c r="J377" t="inlineStr">
        <is>
          <t>Activo</t>
        </is>
      </c>
      <c r="K377" s="3" t="n">
        <v>1</v>
      </c>
      <c r="L377" s="4" t="n">
        <v>46106</v>
      </c>
      <c r="M377" s="3" t="n">
        <v>0.08</v>
      </c>
      <c r="N377" s="3" t="n">
        <v>0.295</v>
      </c>
      <c r="O377" s="4">
        <f>ROUND(L377*K377*(1+M377+N377),2)</f>
        <v/>
      </c>
      <c r="P377" t="inlineStr">
        <is>
          <t>Patricia Romero</t>
        </is>
      </c>
      <c r="Q377" t="inlineStr">
        <is>
          <t>México</t>
        </is>
      </c>
      <c r="R377" t="inlineStr">
        <is>
          <t>Guadalajara</t>
        </is>
      </c>
    </row>
    <row r="378">
      <c r="A378" t="inlineStr">
        <is>
          <t>EMP-0377</t>
        </is>
      </c>
      <c r="B378" t="inlineStr">
        <is>
          <t>Álvaro</t>
        </is>
      </c>
      <c r="C378" t="inlineStr">
        <is>
          <t>Delgado</t>
        </is>
      </c>
      <c r="D378" t="inlineStr">
        <is>
          <t>RRHH</t>
        </is>
      </c>
      <c r="E378" t="inlineStr">
        <is>
          <t>Recruitment marketer</t>
        </is>
      </c>
      <c r="F378" t="inlineStr">
        <is>
          <t>Anuncios RRHH</t>
        </is>
      </c>
      <c r="G378" t="inlineStr">
        <is>
          <t>Indefinido</t>
        </is>
      </c>
      <c r="H378" s="2" t="n">
        <v>44597</v>
      </c>
      <c r="I378" s="2" t="n"/>
      <c r="J378" t="inlineStr">
        <is>
          <t>Activo</t>
        </is>
      </c>
      <c r="K378" s="3" t="n">
        <v>1</v>
      </c>
      <c r="L378" s="4" t="n">
        <v>33289</v>
      </c>
      <c r="M378" s="3" t="n">
        <v>0.08</v>
      </c>
      <c r="N378" s="3" t="n">
        <v>0.319</v>
      </c>
      <c r="O378" s="4">
        <f>ROUND(L378*K378*(1+M378+N378),2)</f>
        <v/>
      </c>
      <c r="P378" t="inlineStr">
        <is>
          <t>Luis Gómez</t>
        </is>
      </c>
      <c r="Q378" t="inlineStr">
        <is>
          <t>México</t>
        </is>
      </c>
      <c r="R378" t="inlineStr">
        <is>
          <t>Ciudad de México</t>
        </is>
      </c>
    </row>
    <row r="379">
      <c r="A379" t="inlineStr">
        <is>
          <t>EMP-0378</t>
        </is>
      </c>
      <c r="B379" t="inlineStr">
        <is>
          <t>Marta</t>
        </is>
      </c>
      <c r="C379" t="inlineStr">
        <is>
          <t>Iglesias</t>
        </is>
      </c>
      <c r="D379" t="inlineStr">
        <is>
          <t>Marketing</t>
        </is>
      </c>
      <c r="E379" t="inlineStr">
        <is>
          <t>Campaign manager</t>
        </is>
      </c>
      <c r="F379" t="inlineStr">
        <is>
          <t>Anuncios internet</t>
        </is>
      </c>
      <c r="G379" t="inlineStr">
        <is>
          <t>Temporal</t>
        </is>
      </c>
      <c r="H379" s="2" t="n">
        <v>43918</v>
      </c>
      <c r="I379" s="2" t="n"/>
      <c r="J379" t="inlineStr">
        <is>
          <t>Activo</t>
        </is>
      </c>
      <c r="K379" s="3" t="n">
        <v>0.75</v>
      </c>
      <c r="L379" s="4" t="n">
        <v>56796</v>
      </c>
      <c r="M379" s="3" t="n">
        <v>0.12</v>
      </c>
      <c r="N379" s="3" t="n">
        <v>0.285</v>
      </c>
      <c r="O379" s="4">
        <f>ROUND(L379*K379*(1+M379+N379),2)</f>
        <v/>
      </c>
      <c r="P379" t="inlineStr">
        <is>
          <t>Ana Torres</t>
        </is>
      </c>
      <c r="Q379" t="inlineStr">
        <is>
          <t>Portugal</t>
        </is>
      </c>
      <c r="R379" t="inlineStr">
        <is>
          <t>Oporto</t>
        </is>
      </c>
    </row>
    <row r="380">
      <c r="A380" t="inlineStr">
        <is>
          <t>EMP-0379</t>
        </is>
      </c>
      <c r="B380" t="inlineStr">
        <is>
          <t>Lucía</t>
        </is>
      </c>
      <c r="C380" t="inlineStr">
        <is>
          <t>Álvarez</t>
        </is>
      </c>
      <c r="D380" t="inlineStr">
        <is>
          <t>Tecnología</t>
        </is>
      </c>
      <c r="E380" t="inlineStr">
        <is>
          <t>Desarrollador web</t>
        </is>
      </c>
      <c r="F380" t="inlineStr">
        <is>
          <t>Publicación de noticias</t>
        </is>
      </c>
      <c r="G380" t="inlineStr">
        <is>
          <t>Indefinido</t>
        </is>
      </c>
      <c r="H380" s="2" t="n">
        <v>43556</v>
      </c>
      <c r="I380" s="2" t="n"/>
      <c r="J380" t="inlineStr">
        <is>
          <t>Activo</t>
        </is>
      </c>
      <c r="K380" s="3" t="n">
        <v>1</v>
      </c>
      <c r="L380" s="4" t="n">
        <v>29463</v>
      </c>
      <c r="M380" s="3" t="n">
        <v>0</v>
      </c>
      <c r="N380" s="3" t="n">
        <v>0.324</v>
      </c>
      <c r="O380" s="4">
        <f>ROUND(L380*K380*(1+M380+N380),2)</f>
        <v/>
      </c>
      <c r="P380" t="inlineStr">
        <is>
          <t>Luis Gómez</t>
        </is>
      </c>
      <c r="Q380" t="inlineStr">
        <is>
          <t>Colombia</t>
        </is>
      </c>
      <c r="R380" t="inlineStr">
        <is>
          <t>Medellín</t>
        </is>
      </c>
    </row>
    <row r="381">
      <c r="A381" t="inlineStr">
        <is>
          <t>EMP-0380</t>
        </is>
      </c>
      <c r="B381" t="inlineStr">
        <is>
          <t>Álex</t>
        </is>
      </c>
      <c r="C381" t="inlineStr">
        <is>
          <t>Suárez</t>
        </is>
      </c>
      <c r="D381" t="inlineStr">
        <is>
          <t>Atención al cliente</t>
        </is>
      </c>
      <c r="E381" t="inlineStr">
        <is>
          <t>Soporte cliente</t>
        </is>
      </c>
      <c r="F381" t="inlineStr">
        <is>
          <t>Anuncios TV</t>
        </is>
      </c>
      <c r="G381" t="inlineStr">
        <is>
          <t>Freelance</t>
        </is>
      </c>
      <c r="H381" s="2" t="n">
        <v>43176</v>
      </c>
      <c r="I381" s="2" t="n"/>
      <c r="J381" t="inlineStr">
        <is>
          <t>Activo</t>
        </is>
      </c>
      <c r="K381" s="3" t="n">
        <v>1</v>
      </c>
      <c r="L381" s="4" t="n">
        <v>23424</v>
      </c>
      <c r="M381" s="3" t="n">
        <v>0.03</v>
      </c>
      <c r="N381" s="3" t="n">
        <v>0.29</v>
      </c>
      <c r="O381" s="4">
        <f>ROUND(L381*K381*(1+M381+N381),2)</f>
        <v/>
      </c>
      <c r="P381" t="inlineStr">
        <is>
          <t>Luis Gómez</t>
        </is>
      </c>
      <c r="Q381" t="inlineStr">
        <is>
          <t>México</t>
        </is>
      </c>
      <c r="R381" t="inlineStr">
        <is>
          <t>Guadalajara</t>
        </is>
      </c>
    </row>
    <row r="382">
      <c r="A382" t="inlineStr">
        <is>
          <t>EMP-0381</t>
        </is>
      </c>
      <c r="B382" t="inlineStr">
        <is>
          <t>Sofía</t>
        </is>
      </c>
      <c r="C382" t="inlineStr">
        <is>
          <t>Alonso</t>
        </is>
      </c>
      <c r="D382" t="inlineStr">
        <is>
          <t>Comercial</t>
        </is>
      </c>
      <c r="E382" t="inlineStr">
        <is>
          <t>Sales manager</t>
        </is>
      </c>
      <c r="F382" t="inlineStr">
        <is>
          <t>Mantenimiento web</t>
        </is>
      </c>
      <c r="G382" t="inlineStr">
        <is>
          <t>Indefinido</t>
        </is>
      </c>
      <c r="H382" s="2" t="n">
        <v>44576</v>
      </c>
      <c r="I382" s="2" t="n"/>
      <c r="J382" t="inlineStr">
        <is>
          <t>Activo</t>
        </is>
      </c>
      <c r="K382" s="3" t="n">
        <v>0.5</v>
      </c>
      <c r="L382" s="4" t="n">
        <v>42689</v>
      </c>
      <c r="M382" s="3" t="n">
        <v>0.1</v>
      </c>
      <c r="N382" s="3" t="n">
        <v>0.303</v>
      </c>
      <c r="O382" s="4">
        <f>ROUND(L382*K382*(1+M382+N382),2)</f>
        <v/>
      </c>
      <c r="P382" t="inlineStr">
        <is>
          <t>Silvia Navarro</t>
        </is>
      </c>
      <c r="Q382" t="inlineStr">
        <is>
          <t>España</t>
        </is>
      </c>
      <c r="R382" t="inlineStr">
        <is>
          <t>Madrid</t>
        </is>
      </c>
    </row>
    <row r="383">
      <c r="A383" t="inlineStr">
        <is>
          <t>EMP-0382</t>
        </is>
      </c>
      <c r="B383" t="inlineStr">
        <is>
          <t>Pablo</t>
        </is>
      </c>
      <c r="C383" t="inlineStr">
        <is>
          <t>Fernández</t>
        </is>
      </c>
      <c r="D383" t="inlineStr">
        <is>
          <t>Redacción</t>
        </is>
      </c>
      <c r="E383" t="inlineStr">
        <is>
          <t>Editor</t>
        </is>
      </c>
      <c r="F383" t="inlineStr">
        <is>
          <t>Anuncios RRHH</t>
        </is>
      </c>
      <c r="G383" t="inlineStr">
        <is>
          <t>Indefinido</t>
        </is>
      </c>
      <c r="H383" s="2" t="n">
        <v>44976</v>
      </c>
      <c r="I383" s="2" t="n"/>
      <c r="J383" t="inlineStr">
        <is>
          <t>Activo</t>
        </is>
      </c>
      <c r="K383" s="3" t="n">
        <v>0.5</v>
      </c>
      <c r="L383" s="4" t="n">
        <v>23302</v>
      </c>
      <c r="M383" s="3" t="n">
        <v>0</v>
      </c>
      <c r="N383" s="3" t="n">
        <v>0.335</v>
      </c>
      <c r="O383" s="4">
        <f>ROUND(L383*K383*(1+M383+N383),2)</f>
        <v/>
      </c>
      <c r="P383" t="inlineStr">
        <is>
          <t>Patricia Romero</t>
        </is>
      </c>
      <c r="Q383" t="inlineStr">
        <is>
          <t>España</t>
        </is>
      </c>
      <c r="R383" t="inlineStr">
        <is>
          <t>Madrid</t>
        </is>
      </c>
    </row>
    <row r="384">
      <c r="A384" t="inlineStr">
        <is>
          <t>EMP-0383</t>
        </is>
      </c>
      <c r="B384" t="inlineStr">
        <is>
          <t>Teresa</t>
        </is>
      </c>
      <c r="C384" t="inlineStr">
        <is>
          <t>Delgado</t>
        </is>
      </c>
      <c r="D384" t="inlineStr">
        <is>
          <t>Finanzas</t>
        </is>
      </c>
      <c r="E384" t="inlineStr">
        <is>
          <t>Controller</t>
        </is>
      </c>
      <c r="F384" t="inlineStr">
        <is>
          <t>Anuncios prensa</t>
        </is>
      </c>
      <c r="G384" t="inlineStr">
        <is>
          <t>Indefinido</t>
        </is>
      </c>
      <c r="H384" s="2" t="n">
        <v>44339</v>
      </c>
      <c r="I384" s="2" t="n"/>
      <c r="J384" t="inlineStr">
        <is>
          <t>Activo</t>
        </is>
      </c>
      <c r="K384" s="3" t="n">
        <v>1</v>
      </c>
      <c r="L384" s="4" t="n">
        <v>31039</v>
      </c>
      <c r="M384" s="3" t="n">
        <v>0.12</v>
      </c>
      <c r="N384" s="3" t="n">
        <v>0.284</v>
      </c>
      <c r="O384" s="4">
        <f>ROUND(L384*K384*(1+M384+N384),2)</f>
        <v/>
      </c>
      <c r="P384" t="inlineStr">
        <is>
          <t>Fernando Ruiz</t>
        </is>
      </c>
      <c r="Q384" t="inlineStr">
        <is>
          <t>México</t>
        </is>
      </c>
      <c r="R384" t="inlineStr">
        <is>
          <t>Ciudad de México</t>
        </is>
      </c>
    </row>
    <row r="385">
      <c r="A385" t="inlineStr">
        <is>
          <t>EMP-0384</t>
        </is>
      </c>
      <c r="B385" t="inlineStr">
        <is>
          <t>Diego</t>
        </is>
      </c>
      <c r="C385" t="inlineStr">
        <is>
          <t>Álvarez</t>
        </is>
      </c>
      <c r="D385" t="inlineStr">
        <is>
          <t>Operaciones</t>
        </is>
      </c>
      <c r="E385" t="inlineStr">
        <is>
          <t>Project manager</t>
        </is>
      </c>
      <c r="F385" t="inlineStr">
        <is>
          <t>Anuncios TV</t>
        </is>
      </c>
      <c r="G385" t="inlineStr">
        <is>
          <t>Temporal</t>
        </is>
      </c>
      <c r="H385" s="2" t="n">
        <v>43663</v>
      </c>
      <c r="I385" s="2" t="n"/>
      <c r="J385" t="inlineStr">
        <is>
          <t>Activo</t>
        </is>
      </c>
      <c r="K385" s="3" t="n">
        <v>1</v>
      </c>
      <c r="L385" s="4" t="n">
        <v>39062</v>
      </c>
      <c r="M385" s="3" t="n">
        <v>0.1</v>
      </c>
      <c r="N385" s="3" t="n">
        <v>0.317</v>
      </c>
      <c r="O385" s="4">
        <f>ROUND(L385*K385*(1+M385+N385),2)</f>
        <v/>
      </c>
      <c r="P385" t="inlineStr">
        <is>
          <t>Jorge Molina</t>
        </is>
      </c>
      <c r="Q385" t="inlineStr">
        <is>
          <t>Chile</t>
        </is>
      </c>
      <c r="R385" t="inlineStr">
        <is>
          <t>Santiago</t>
        </is>
      </c>
    </row>
    <row r="386">
      <c r="A386" t="inlineStr">
        <is>
          <t>EMP-0385</t>
        </is>
      </c>
      <c r="B386" t="inlineStr">
        <is>
          <t>Víctor</t>
        </is>
      </c>
      <c r="C386" t="inlineStr">
        <is>
          <t>Moreno</t>
        </is>
      </c>
      <c r="D386" t="inlineStr">
        <is>
          <t>Tecnología</t>
        </is>
      </c>
      <c r="E386" t="inlineStr">
        <is>
          <t>QA web</t>
        </is>
      </c>
      <c r="F386" t="inlineStr">
        <is>
          <t>Anuncios prensa</t>
        </is>
      </c>
      <c r="G386" t="inlineStr">
        <is>
          <t>Freelance</t>
        </is>
      </c>
      <c r="H386" s="2" t="n">
        <v>44449</v>
      </c>
      <c r="I386" s="2" t="n"/>
      <c r="J386" t="inlineStr">
        <is>
          <t>Activo</t>
        </is>
      </c>
      <c r="K386" s="3" t="n">
        <v>0.75</v>
      </c>
      <c r="L386" s="4" t="n">
        <v>38120</v>
      </c>
      <c r="M386" s="3" t="n">
        <v>0</v>
      </c>
      <c r="N386" s="3" t="n">
        <v>0.315</v>
      </c>
      <c r="O386" s="4">
        <f>ROUND(L386*K386*(1+M386+N386),2)</f>
        <v/>
      </c>
      <c r="P386" t="inlineStr">
        <is>
          <t>Luis Gómez</t>
        </is>
      </c>
      <c r="Q386" t="inlineStr">
        <is>
          <t>España</t>
        </is>
      </c>
      <c r="R386" t="inlineStr">
        <is>
          <t>Barcelona</t>
        </is>
      </c>
    </row>
    <row r="387">
      <c r="A387" t="inlineStr">
        <is>
          <t>EMP-0386</t>
        </is>
      </c>
      <c r="B387" t="inlineStr">
        <is>
          <t>Víctor</t>
        </is>
      </c>
      <c r="C387" t="inlineStr">
        <is>
          <t>Iglesias</t>
        </is>
      </c>
      <c r="D387" t="inlineStr">
        <is>
          <t>Traducción</t>
        </is>
      </c>
      <c r="E387" t="inlineStr">
        <is>
          <t>Localization manager</t>
        </is>
      </c>
      <c r="F387" t="inlineStr">
        <is>
          <t>Generación de noticias</t>
        </is>
      </c>
      <c r="G387" t="inlineStr">
        <is>
          <t>Freelance</t>
        </is>
      </c>
      <c r="H387" s="2" t="n">
        <v>43695</v>
      </c>
      <c r="I387" s="2" t="n"/>
      <c r="J387" t="inlineStr">
        <is>
          <t>Activo</t>
        </is>
      </c>
      <c r="K387" s="3" t="n">
        <v>1</v>
      </c>
      <c r="L387" s="4" t="n">
        <v>27178</v>
      </c>
      <c r="M387" s="3" t="n">
        <v>0.03</v>
      </c>
      <c r="N387" s="3" t="n">
        <v>0.284</v>
      </c>
      <c r="O387" s="4">
        <f>ROUND(L387*K387*(1+M387+N387),2)</f>
        <v/>
      </c>
      <c r="P387" t="inlineStr">
        <is>
          <t>Jorge Molina</t>
        </is>
      </c>
      <c r="Q387" t="inlineStr">
        <is>
          <t>México</t>
        </is>
      </c>
      <c r="R387" t="inlineStr">
        <is>
          <t>Ciudad de México</t>
        </is>
      </c>
    </row>
    <row r="388">
      <c r="A388" t="inlineStr">
        <is>
          <t>EMP-0387</t>
        </is>
      </c>
      <c r="B388" t="inlineStr">
        <is>
          <t>Carlos</t>
        </is>
      </c>
      <c r="C388" t="inlineStr">
        <is>
          <t>Molina</t>
        </is>
      </c>
      <c r="D388" t="inlineStr">
        <is>
          <t>Redacción</t>
        </is>
      </c>
      <c r="E388" t="inlineStr">
        <is>
          <t>Content manager</t>
        </is>
      </c>
      <c r="F388" t="inlineStr">
        <is>
          <t>Publicación de noticias</t>
        </is>
      </c>
      <c r="G388" t="inlineStr">
        <is>
          <t>Indefinido</t>
        </is>
      </c>
      <c r="H388" s="2" t="n">
        <v>44796</v>
      </c>
      <c r="I388" s="2" t="n"/>
      <c r="J388" t="inlineStr">
        <is>
          <t>Activo</t>
        </is>
      </c>
      <c r="K388" s="3" t="n">
        <v>1</v>
      </c>
      <c r="L388" s="4" t="n">
        <v>36516</v>
      </c>
      <c r="M388" s="3" t="n">
        <v>0.1</v>
      </c>
      <c r="N388" s="3" t="n">
        <v>0.336</v>
      </c>
      <c r="O388" s="4">
        <f>ROUND(L388*K388*(1+M388+N388),2)</f>
        <v/>
      </c>
      <c r="P388" t="inlineStr">
        <is>
          <t>Jorge Molina</t>
        </is>
      </c>
      <c r="Q388" t="inlineStr">
        <is>
          <t>España</t>
        </is>
      </c>
      <c r="R388" t="inlineStr">
        <is>
          <t>Barcelona</t>
        </is>
      </c>
    </row>
    <row r="389">
      <c r="A389" t="inlineStr">
        <is>
          <t>EMP-0388</t>
        </is>
      </c>
      <c r="B389" t="inlineStr">
        <is>
          <t>Carmen</t>
        </is>
      </c>
      <c r="C389" t="inlineStr">
        <is>
          <t>Gómez</t>
        </is>
      </c>
      <c r="D389" t="inlineStr">
        <is>
          <t>Comercial</t>
        </is>
      </c>
      <c r="E389" t="inlineStr">
        <is>
          <t>Ejecutivo de cuentas</t>
        </is>
      </c>
      <c r="F389" t="inlineStr">
        <is>
          <t>Publicación de noticias</t>
        </is>
      </c>
      <c r="G389" t="inlineStr">
        <is>
          <t>Indefinido</t>
        </is>
      </c>
      <c r="H389" s="2" t="n">
        <v>45607</v>
      </c>
      <c r="I389" s="2" t="n"/>
      <c r="J389" t="inlineStr">
        <is>
          <t>Activo</t>
        </is>
      </c>
      <c r="K389" s="3" t="n">
        <v>1</v>
      </c>
      <c r="L389" s="4" t="n">
        <v>49596</v>
      </c>
      <c r="M389" s="3" t="n">
        <v>0</v>
      </c>
      <c r="N389" s="3" t="n">
        <v>0.316</v>
      </c>
      <c r="O389" s="4">
        <f>ROUND(L389*K389*(1+M389+N389),2)</f>
        <v/>
      </c>
      <c r="P389" t="inlineStr">
        <is>
          <t>Jorge Molina</t>
        </is>
      </c>
      <c r="Q389" t="inlineStr">
        <is>
          <t>México</t>
        </is>
      </c>
      <c r="R389" t="inlineStr">
        <is>
          <t>Ciudad de México</t>
        </is>
      </c>
    </row>
    <row r="390">
      <c r="A390" t="inlineStr">
        <is>
          <t>EMP-0389</t>
        </is>
      </c>
      <c r="B390" t="inlineStr">
        <is>
          <t>Carmen</t>
        </is>
      </c>
      <c r="C390" t="inlineStr">
        <is>
          <t>Vázquez</t>
        </is>
      </c>
      <c r="D390" t="inlineStr">
        <is>
          <t>Operaciones</t>
        </is>
      </c>
      <c r="E390" t="inlineStr">
        <is>
          <t>Especialista de cuentas</t>
        </is>
      </c>
      <c r="F390" t="inlineStr">
        <is>
          <t>Anuncios RRHH</t>
        </is>
      </c>
      <c r="G390" t="inlineStr">
        <is>
          <t>Temporal</t>
        </is>
      </c>
      <c r="H390" s="2" t="n">
        <v>45021</v>
      </c>
      <c r="I390" s="2" t="n"/>
      <c r="J390" t="inlineStr">
        <is>
          <t>Activo</t>
        </is>
      </c>
      <c r="K390" s="3" t="n">
        <v>1</v>
      </c>
      <c r="L390" s="4" t="n">
        <v>28028</v>
      </c>
      <c r="M390" s="3" t="n">
        <v>0.12</v>
      </c>
      <c r="N390" s="3" t="n">
        <v>0.303</v>
      </c>
      <c r="O390" s="4">
        <f>ROUND(L390*K390*(1+M390+N390),2)</f>
        <v/>
      </c>
      <c r="P390" t="inlineStr">
        <is>
          <t>Luis Gómez</t>
        </is>
      </c>
      <c r="Q390" t="inlineStr">
        <is>
          <t>España</t>
        </is>
      </c>
      <c r="R390" t="inlineStr">
        <is>
          <t>Sevilla</t>
        </is>
      </c>
    </row>
    <row r="391">
      <c r="A391" t="inlineStr">
        <is>
          <t>EMP-0390</t>
        </is>
      </c>
      <c r="B391" t="inlineStr">
        <is>
          <t>Lucía</t>
        </is>
      </c>
      <c r="C391" t="inlineStr">
        <is>
          <t>Iglesias</t>
        </is>
      </c>
      <c r="D391" t="inlineStr">
        <is>
          <t>Traducción</t>
        </is>
      </c>
      <c r="E391" t="inlineStr">
        <is>
          <t>Revisor lingüístico</t>
        </is>
      </c>
      <c r="F391" t="inlineStr">
        <is>
          <t>Mantenimiento intranets</t>
        </is>
      </c>
      <c r="G391" t="inlineStr">
        <is>
          <t>Indefinido</t>
        </is>
      </c>
      <c r="H391" s="2" t="n">
        <v>44792</v>
      </c>
      <c r="I391" s="2" t="n"/>
      <c r="J391" t="inlineStr">
        <is>
          <t>Activo</t>
        </is>
      </c>
      <c r="K391" s="3" t="n">
        <v>0.75</v>
      </c>
      <c r="L391" s="4" t="n">
        <v>46830</v>
      </c>
      <c r="M391" s="3" t="n">
        <v>0</v>
      </c>
      <c r="N391" s="3" t="n">
        <v>0.284</v>
      </c>
      <c r="O391" s="4">
        <f>ROUND(L391*K391*(1+M391+N391),2)</f>
        <v/>
      </c>
      <c r="P391" t="inlineStr">
        <is>
          <t>Silvia Navarro</t>
        </is>
      </c>
      <c r="Q391" t="inlineStr">
        <is>
          <t>España</t>
        </is>
      </c>
      <c r="R391" t="inlineStr">
        <is>
          <t>Sevilla</t>
        </is>
      </c>
    </row>
    <row r="392">
      <c r="A392" t="inlineStr">
        <is>
          <t>EMP-0391</t>
        </is>
      </c>
      <c r="B392" t="inlineStr">
        <is>
          <t>Víctor</t>
        </is>
      </c>
      <c r="C392" t="inlineStr">
        <is>
          <t>Alonso</t>
        </is>
      </c>
      <c r="D392" t="inlineStr">
        <is>
          <t>Finanzas</t>
        </is>
      </c>
      <c r="E392" t="inlineStr">
        <is>
          <t>Técnico de facturación</t>
        </is>
      </c>
      <c r="F392" t="inlineStr">
        <is>
          <t>Anuncios RRHH</t>
        </is>
      </c>
      <c r="G392" t="inlineStr">
        <is>
          <t>Temporal</t>
        </is>
      </c>
      <c r="H392" s="2" t="n">
        <v>45591</v>
      </c>
      <c r="I392" s="2" t="n"/>
      <c r="J392" t="inlineStr">
        <is>
          <t>Activo</t>
        </is>
      </c>
      <c r="K392" s="3" t="n">
        <v>1</v>
      </c>
      <c r="L392" s="4" t="n">
        <v>45599</v>
      </c>
      <c r="M392" s="3" t="n">
        <v>0.03</v>
      </c>
      <c r="N392" s="3" t="n">
        <v>0.304</v>
      </c>
      <c r="O392" s="4">
        <f>ROUND(L392*K392*(1+M392+N392),2)</f>
        <v/>
      </c>
      <c r="P392" t="inlineStr">
        <is>
          <t>Silvia Navarro</t>
        </is>
      </c>
      <c r="Q392" t="inlineStr">
        <is>
          <t>Colombia</t>
        </is>
      </c>
      <c r="R392" t="inlineStr">
        <is>
          <t>Bogotá</t>
        </is>
      </c>
    </row>
    <row r="393">
      <c r="A393" t="inlineStr">
        <is>
          <t>EMP-0392</t>
        </is>
      </c>
      <c r="B393" t="inlineStr">
        <is>
          <t>David</t>
        </is>
      </c>
      <c r="C393" t="inlineStr">
        <is>
          <t>Sánchez</t>
        </is>
      </c>
      <c r="D393" t="inlineStr">
        <is>
          <t>Atención al cliente</t>
        </is>
      </c>
      <c r="E393" t="inlineStr">
        <is>
          <t>Account support</t>
        </is>
      </c>
      <c r="F393" t="inlineStr">
        <is>
          <t>Anuncios TV</t>
        </is>
      </c>
      <c r="G393" t="inlineStr">
        <is>
          <t>Indefinido</t>
        </is>
      </c>
      <c r="H393" s="2" t="n">
        <v>43274</v>
      </c>
      <c r="I393" s="2" t="n"/>
      <c r="J393" t="inlineStr">
        <is>
          <t>Activo</t>
        </is>
      </c>
      <c r="K393" s="3" t="n">
        <v>0.75</v>
      </c>
      <c r="L393" s="4" t="n">
        <v>38996</v>
      </c>
      <c r="M393" s="3" t="n">
        <v>0.08</v>
      </c>
      <c r="N393" s="3" t="n">
        <v>0.304</v>
      </c>
      <c r="O393" s="4">
        <f>ROUND(L393*K393*(1+M393+N393),2)</f>
        <v/>
      </c>
      <c r="P393" t="inlineStr">
        <is>
          <t>Ana Torres</t>
        </is>
      </c>
      <c r="Q393" t="inlineStr">
        <is>
          <t>Portugal</t>
        </is>
      </c>
      <c r="R393" t="inlineStr">
        <is>
          <t>Lisboa</t>
        </is>
      </c>
    </row>
    <row r="394">
      <c r="A394" t="inlineStr">
        <is>
          <t>EMP-0393</t>
        </is>
      </c>
      <c r="B394" t="inlineStr">
        <is>
          <t>Laura</t>
        </is>
      </c>
      <c r="C394" t="inlineStr">
        <is>
          <t>Moreno</t>
        </is>
      </c>
      <c r="D394" t="inlineStr">
        <is>
          <t>Atención al cliente</t>
        </is>
      </c>
      <c r="E394" t="inlineStr">
        <is>
          <t>Account support</t>
        </is>
      </c>
      <c r="F394" t="inlineStr">
        <is>
          <t>Anuncios prensa</t>
        </is>
      </c>
      <c r="G394" t="inlineStr">
        <is>
          <t>Indefinido</t>
        </is>
      </c>
      <c r="H394" s="2" t="n">
        <v>44348</v>
      </c>
      <c r="I394" s="2" t="n"/>
      <c r="J394" t="inlineStr">
        <is>
          <t>Activo</t>
        </is>
      </c>
      <c r="K394" s="3" t="n">
        <v>1</v>
      </c>
      <c r="L394" s="4" t="n">
        <v>37117</v>
      </c>
      <c r="M394" s="3" t="n">
        <v>0</v>
      </c>
      <c r="N394" s="3" t="n">
        <v>0.305</v>
      </c>
      <c r="O394" s="4">
        <f>ROUND(L394*K394*(1+M394+N394),2)</f>
        <v/>
      </c>
      <c r="P394" t="inlineStr">
        <is>
          <t>Ana Torres</t>
        </is>
      </c>
      <c r="Q394" t="inlineStr">
        <is>
          <t>España</t>
        </is>
      </c>
      <c r="R394" t="inlineStr">
        <is>
          <t>Madrid</t>
        </is>
      </c>
    </row>
    <row r="395">
      <c r="A395" t="inlineStr">
        <is>
          <t>EMP-0394</t>
        </is>
      </c>
      <c r="B395" t="inlineStr">
        <is>
          <t>Daniel</t>
        </is>
      </c>
      <c r="C395" t="inlineStr">
        <is>
          <t>Suárez</t>
        </is>
      </c>
      <c r="D395" t="inlineStr">
        <is>
          <t>Atención al cliente</t>
        </is>
      </c>
      <c r="E395" t="inlineStr">
        <is>
          <t>Soporte cliente</t>
        </is>
      </c>
      <c r="F395" t="inlineStr">
        <is>
          <t>Publicación de noticias</t>
        </is>
      </c>
      <c r="G395" t="inlineStr">
        <is>
          <t>Indefinido</t>
        </is>
      </c>
      <c r="H395" s="2" t="n">
        <v>43837</v>
      </c>
      <c r="I395" s="2" t="n"/>
      <c r="J395" t="inlineStr">
        <is>
          <t>Activo</t>
        </is>
      </c>
      <c r="K395" s="3" t="n">
        <v>1</v>
      </c>
      <c r="L395" s="4" t="n">
        <v>26433</v>
      </c>
      <c r="M395" s="3" t="n">
        <v>0.05</v>
      </c>
      <c r="N395" s="3" t="n">
        <v>0.305</v>
      </c>
      <c r="O395" s="4">
        <f>ROUND(L395*K395*(1+M395+N395),2)</f>
        <v/>
      </c>
      <c r="P395" t="inlineStr">
        <is>
          <t>Ana Torres</t>
        </is>
      </c>
      <c r="Q395" t="inlineStr">
        <is>
          <t>España</t>
        </is>
      </c>
      <c r="R395" t="inlineStr">
        <is>
          <t>Sevilla</t>
        </is>
      </c>
    </row>
    <row r="396">
      <c r="A396" t="inlineStr">
        <is>
          <t>EMP-0395</t>
        </is>
      </c>
      <c r="B396" t="inlineStr">
        <is>
          <t>Óscar</t>
        </is>
      </c>
      <c r="C396" t="inlineStr">
        <is>
          <t>López</t>
        </is>
      </c>
      <c r="D396" t="inlineStr">
        <is>
          <t>Traducción</t>
        </is>
      </c>
      <c r="E396" t="inlineStr">
        <is>
          <t>Localization manager</t>
        </is>
      </c>
      <c r="F396" t="inlineStr">
        <is>
          <t>Anuncios internet</t>
        </is>
      </c>
      <c r="G396" t="inlineStr">
        <is>
          <t>Indefinido</t>
        </is>
      </c>
      <c r="H396" s="2" t="n">
        <v>43772</v>
      </c>
      <c r="I396" s="2" t="n"/>
      <c r="J396" t="inlineStr">
        <is>
          <t>Activo</t>
        </is>
      </c>
      <c r="K396" s="3" t="n">
        <v>0.5</v>
      </c>
      <c r="L396" s="4" t="n">
        <v>24988</v>
      </c>
      <c r="M396" s="3" t="n">
        <v>0</v>
      </c>
      <c r="N396" s="3" t="n">
        <v>0.322</v>
      </c>
      <c r="O396" s="4">
        <f>ROUND(L396*K396*(1+M396+N396),2)</f>
        <v/>
      </c>
      <c r="P396" t="inlineStr">
        <is>
          <t>Patricia Romero</t>
        </is>
      </c>
      <c r="Q396" t="inlineStr">
        <is>
          <t>España</t>
        </is>
      </c>
      <c r="R396" t="inlineStr">
        <is>
          <t>Barcelona</t>
        </is>
      </c>
    </row>
    <row r="397">
      <c r="A397" t="inlineStr">
        <is>
          <t>EMP-0396</t>
        </is>
      </c>
      <c r="B397" t="inlineStr">
        <is>
          <t>Andrea</t>
        </is>
      </c>
      <c r="C397" t="inlineStr">
        <is>
          <t>Ramos</t>
        </is>
      </c>
      <c r="D397" t="inlineStr">
        <is>
          <t>Redacción</t>
        </is>
      </c>
      <c r="E397" t="inlineStr">
        <is>
          <t>Redactor</t>
        </is>
      </c>
      <c r="F397" t="inlineStr">
        <is>
          <t>Anuncios TV</t>
        </is>
      </c>
      <c r="G397" t="inlineStr">
        <is>
          <t>Indefinido</t>
        </is>
      </c>
      <c r="H397" s="2" t="n">
        <v>43800</v>
      </c>
      <c r="I397" s="2" t="n"/>
      <c r="J397" t="inlineStr">
        <is>
          <t>Activo</t>
        </is>
      </c>
      <c r="K397" s="3" t="n">
        <v>1</v>
      </c>
      <c r="L397" s="4" t="n">
        <v>50550</v>
      </c>
      <c r="M397" s="3" t="n">
        <v>0.1</v>
      </c>
      <c r="N397" s="3" t="n">
        <v>0.332</v>
      </c>
      <c r="O397" s="4">
        <f>ROUND(L397*K397*(1+M397+N397),2)</f>
        <v/>
      </c>
      <c r="P397" t="inlineStr">
        <is>
          <t>Luis Gómez</t>
        </is>
      </c>
      <c r="Q397" t="inlineStr">
        <is>
          <t>México</t>
        </is>
      </c>
      <c r="R397" t="inlineStr">
        <is>
          <t>Ciudad de México</t>
        </is>
      </c>
    </row>
    <row r="398">
      <c r="A398" t="inlineStr">
        <is>
          <t>EMP-0397</t>
        </is>
      </c>
      <c r="B398" t="inlineStr">
        <is>
          <t>Sara</t>
        </is>
      </c>
      <c r="C398" t="inlineStr">
        <is>
          <t>Moreno</t>
        </is>
      </c>
      <c r="D398" t="inlineStr">
        <is>
          <t>Traducción</t>
        </is>
      </c>
      <c r="E398" t="inlineStr">
        <is>
          <t>Traductor</t>
        </is>
      </c>
      <c r="F398" t="inlineStr">
        <is>
          <t>Mantenimiento web</t>
        </is>
      </c>
      <c r="G398" t="inlineStr">
        <is>
          <t>Indefinido</t>
        </is>
      </c>
      <c r="H398" s="2" t="n">
        <v>43582</v>
      </c>
      <c r="I398" s="2" t="n"/>
      <c r="J398" t="inlineStr">
        <is>
          <t>Activo</t>
        </is>
      </c>
      <c r="K398" s="3" t="n">
        <v>0.75</v>
      </c>
      <c r="L398" s="4" t="n">
        <v>22115</v>
      </c>
      <c r="M398" s="3" t="n">
        <v>0.08</v>
      </c>
      <c r="N398" s="3" t="n">
        <v>0.326</v>
      </c>
      <c r="O398" s="4">
        <f>ROUND(L398*K398*(1+M398+N398),2)</f>
        <v/>
      </c>
      <c r="P398" t="inlineStr">
        <is>
          <t>Fernando Ruiz</t>
        </is>
      </c>
      <c r="Q398" t="inlineStr">
        <is>
          <t>España</t>
        </is>
      </c>
      <c r="R398" t="inlineStr">
        <is>
          <t>Valencia</t>
        </is>
      </c>
    </row>
    <row r="399">
      <c r="A399" t="inlineStr">
        <is>
          <t>EMP-0398</t>
        </is>
      </c>
      <c r="B399" t="inlineStr">
        <is>
          <t>Cristina</t>
        </is>
      </c>
      <c r="C399" t="inlineStr">
        <is>
          <t>Cano</t>
        </is>
      </c>
      <c r="D399" t="inlineStr">
        <is>
          <t>Finanzas</t>
        </is>
      </c>
      <c r="E399" t="inlineStr">
        <is>
          <t>Técnico de facturación</t>
        </is>
      </c>
      <c r="F399" t="inlineStr">
        <is>
          <t>Anuncios internet</t>
        </is>
      </c>
      <c r="G399" t="inlineStr">
        <is>
          <t>Indefinido</t>
        </is>
      </c>
      <c r="H399" s="2" t="n">
        <v>43989</v>
      </c>
      <c r="I399" s="2" t="n"/>
      <c r="J399" t="inlineStr">
        <is>
          <t>Activo</t>
        </is>
      </c>
      <c r="K399" s="3" t="n">
        <v>1</v>
      </c>
      <c r="L399" s="4" t="n">
        <v>36868</v>
      </c>
      <c r="M399" s="3" t="n">
        <v>0.05</v>
      </c>
      <c r="N399" s="3" t="n">
        <v>0.307</v>
      </c>
      <c r="O399" s="4">
        <f>ROUND(L399*K399*(1+M399+N399),2)</f>
        <v/>
      </c>
      <c r="P399" t="inlineStr">
        <is>
          <t>Silvia Navarro</t>
        </is>
      </c>
      <c r="Q399" t="inlineStr">
        <is>
          <t>España</t>
        </is>
      </c>
      <c r="R399" t="inlineStr">
        <is>
          <t>Madrid</t>
        </is>
      </c>
    </row>
    <row r="400">
      <c r="A400" t="inlineStr">
        <is>
          <t>EMP-0399</t>
        </is>
      </c>
      <c r="B400" t="inlineStr">
        <is>
          <t>Álex</t>
        </is>
      </c>
      <c r="C400" t="inlineStr">
        <is>
          <t>Ortega</t>
        </is>
      </c>
      <c r="D400" t="inlineStr">
        <is>
          <t>Operaciones</t>
        </is>
      </c>
      <c r="E400" t="inlineStr">
        <is>
          <t>Coordinador de operaciones</t>
        </is>
      </c>
      <c r="F400" t="inlineStr">
        <is>
          <t>Mantenimiento intranets</t>
        </is>
      </c>
      <c r="G400" t="inlineStr">
        <is>
          <t>Indefinido</t>
        </is>
      </c>
      <c r="H400" s="2" t="n">
        <v>43951</v>
      </c>
      <c r="I400" s="2" t="n">
        <v>44434</v>
      </c>
      <c r="J400" t="inlineStr">
        <is>
          <t>Baja</t>
        </is>
      </c>
      <c r="K400" s="3" t="n">
        <v>0.5</v>
      </c>
      <c r="L400" s="4" t="n">
        <v>43406</v>
      </c>
      <c r="M400" s="3" t="n">
        <v>0.03</v>
      </c>
      <c r="N400" s="3" t="n">
        <v>0.282</v>
      </c>
      <c r="O400" s="4">
        <f>ROUND(L400*K400*(1+M400+N400),2)</f>
        <v/>
      </c>
      <c r="P400" t="inlineStr">
        <is>
          <t>Jorge Molina</t>
        </is>
      </c>
      <c r="Q400" t="inlineStr">
        <is>
          <t>Colombia</t>
        </is>
      </c>
      <c r="R400" t="inlineStr">
        <is>
          <t>Medellín</t>
        </is>
      </c>
    </row>
    <row r="401">
      <c r="A401" t="inlineStr">
        <is>
          <t>EMP-0400</t>
        </is>
      </c>
      <c r="B401" t="inlineStr">
        <is>
          <t>Paula</t>
        </is>
      </c>
      <c r="C401" t="inlineStr">
        <is>
          <t>Navarro</t>
        </is>
      </c>
      <c r="D401" t="inlineStr">
        <is>
          <t>Comercial</t>
        </is>
      </c>
      <c r="E401" t="inlineStr">
        <is>
          <t>Business developer</t>
        </is>
      </c>
      <c r="F401" t="inlineStr">
        <is>
          <t>Anuncios RRHH</t>
        </is>
      </c>
      <c r="G401" t="inlineStr">
        <is>
          <t>Freelance</t>
        </is>
      </c>
      <c r="H401" s="2" t="n">
        <v>43761</v>
      </c>
      <c r="I401" s="2" t="n"/>
      <c r="J401" t="inlineStr">
        <is>
          <t>Activo</t>
        </is>
      </c>
      <c r="K401" s="3" t="n">
        <v>1</v>
      </c>
      <c r="L401" s="4" t="n">
        <v>53321</v>
      </c>
      <c r="M401" s="3" t="n">
        <v>0.1</v>
      </c>
      <c r="N401" s="3" t="n">
        <v>0.316</v>
      </c>
      <c r="O401" s="4">
        <f>ROUND(L401*K401*(1+M401+N401),2)</f>
        <v/>
      </c>
      <c r="P401" t="inlineStr">
        <is>
          <t>Luis Gómez</t>
        </is>
      </c>
      <c r="Q401" t="inlineStr">
        <is>
          <t>Colombia</t>
        </is>
      </c>
      <c r="R401" t="inlineStr">
        <is>
          <t>Bogotá</t>
        </is>
      </c>
    </row>
    <row r="402">
      <c r="A402" t="inlineStr">
        <is>
          <t>EMP-0401</t>
        </is>
      </c>
      <c r="B402" t="inlineStr">
        <is>
          <t>Hugo</t>
        </is>
      </c>
      <c r="C402" t="inlineStr">
        <is>
          <t>Álvarez</t>
        </is>
      </c>
      <c r="D402" t="inlineStr">
        <is>
          <t>Finanzas</t>
        </is>
      </c>
      <c r="E402" t="inlineStr">
        <is>
          <t>Controller</t>
        </is>
      </c>
      <c r="F402" t="inlineStr">
        <is>
          <t>Anuncios RRHH</t>
        </is>
      </c>
      <c r="G402" t="inlineStr">
        <is>
          <t>Indefinido</t>
        </is>
      </c>
      <c r="H402" s="2" t="n">
        <v>44653</v>
      </c>
      <c r="I402" s="2" t="n"/>
      <c r="J402" t="inlineStr">
        <is>
          <t>Activo</t>
        </is>
      </c>
      <c r="K402" s="3" t="n">
        <v>1</v>
      </c>
      <c r="L402" s="4" t="n">
        <v>49633</v>
      </c>
      <c r="M402" s="3" t="n">
        <v>0.08</v>
      </c>
      <c r="N402" s="3" t="n">
        <v>0.284</v>
      </c>
      <c r="O402" s="4">
        <f>ROUND(L402*K402*(1+M402+N402),2)</f>
        <v/>
      </c>
      <c r="P402" t="inlineStr">
        <is>
          <t>Luis Gómez</t>
        </is>
      </c>
      <c r="Q402" t="inlineStr">
        <is>
          <t>Chile</t>
        </is>
      </c>
      <c r="R402" t="inlineStr">
        <is>
          <t>Santiago</t>
        </is>
      </c>
    </row>
    <row r="403">
      <c r="A403" t="inlineStr">
        <is>
          <t>EMP-0402</t>
        </is>
      </c>
      <c r="B403" t="inlineStr">
        <is>
          <t>David</t>
        </is>
      </c>
      <c r="C403" t="inlineStr">
        <is>
          <t>Fernández</t>
        </is>
      </c>
      <c r="D403" t="inlineStr">
        <is>
          <t>Redacción</t>
        </is>
      </c>
      <c r="E403" t="inlineStr">
        <is>
          <t>Content manager</t>
        </is>
      </c>
      <c r="F403" t="inlineStr">
        <is>
          <t>Generación de noticias</t>
        </is>
      </c>
      <c r="G403" t="inlineStr">
        <is>
          <t>Indefinido</t>
        </is>
      </c>
      <c r="H403" s="2" t="n">
        <v>45607</v>
      </c>
      <c r="I403" s="2" t="n">
        <v>46957</v>
      </c>
      <c r="J403" t="inlineStr">
        <is>
          <t>Baja</t>
        </is>
      </c>
      <c r="K403" s="3" t="n">
        <v>1</v>
      </c>
      <c r="L403" s="4" t="n">
        <v>24872</v>
      </c>
      <c r="M403" s="3" t="n">
        <v>0.05</v>
      </c>
      <c r="N403" s="3" t="n">
        <v>0.323</v>
      </c>
      <c r="O403" s="4">
        <f>ROUND(L403*K403*(1+M403+N403),2)</f>
        <v/>
      </c>
      <c r="P403" t="inlineStr">
        <is>
          <t>Jorge Molina</t>
        </is>
      </c>
      <c r="Q403" t="inlineStr">
        <is>
          <t>España</t>
        </is>
      </c>
      <c r="R403" t="inlineStr">
        <is>
          <t>Sevilla</t>
        </is>
      </c>
    </row>
    <row r="404">
      <c r="A404" t="inlineStr">
        <is>
          <t>EMP-0403</t>
        </is>
      </c>
      <c r="B404" t="inlineStr">
        <is>
          <t>Natalia</t>
        </is>
      </c>
      <c r="C404" t="inlineStr">
        <is>
          <t>Vázquez</t>
        </is>
      </c>
      <c r="D404" t="inlineStr">
        <is>
          <t>Comercial</t>
        </is>
      </c>
      <c r="E404" t="inlineStr">
        <is>
          <t>Sales manager</t>
        </is>
      </c>
      <c r="F404" t="inlineStr">
        <is>
          <t>Anuncios prensa</t>
        </is>
      </c>
      <c r="G404" t="inlineStr">
        <is>
          <t>Indefinido</t>
        </is>
      </c>
      <c r="H404" s="2" t="n">
        <v>44550</v>
      </c>
      <c r="I404" s="2" t="n"/>
      <c r="J404" t="inlineStr">
        <is>
          <t>Activo</t>
        </is>
      </c>
      <c r="K404" s="3" t="n">
        <v>1</v>
      </c>
      <c r="L404" s="4" t="n">
        <v>48502</v>
      </c>
      <c r="M404" s="3" t="n">
        <v>0.08</v>
      </c>
      <c r="N404" s="3" t="n">
        <v>0.324</v>
      </c>
      <c r="O404" s="4">
        <f>ROUND(L404*K404*(1+M404+N404),2)</f>
        <v/>
      </c>
      <c r="P404" t="inlineStr">
        <is>
          <t>Fernando Ruiz</t>
        </is>
      </c>
      <c r="Q404" t="inlineStr">
        <is>
          <t>Portugal</t>
        </is>
      </c>
      <c r="R404" t="inlineStr">
        <is>
          <t>Oporto</t>
        </is>
      </c>
    </row>
    <row r="405">
      <c r="A405" t="inlineStr">
        <is>
          <t>EMP-0404</t>
        </is>
      </c>
      <c r="B405" t="inlineStr">
        <is>
          <t>Lucía</t>
        </is>
      </c>
      <c r="C405" t="inlineStr">
        <is>
          <t>Sánchez</t>
        </is>
      </c>
      <c r="D405" t="inlineStr">
        <is>
          <t>Traducción</t>
        </is>
      </c>
      <c r="E405" t="inlineStr">
        <is>
          <t>Revisor lingüístico</t>
        </is>
      </c>
      <c r="F405" t="inlineStr">
        <is>
          <t>Mantenimiento intranets</t>
        </is>
      </c>
      <c r="G405" t="inlineStr">
        <is>
          <t>Indefinido</t>
        </is>
      </c>
      <c r="H405" s="2" t="n">
        <v>43584</v>
      </c>
      <c r="I405" s="2" t="n"/>
      <c r="J405" t="inlineStr">
        <is>
          <t>Activo</t>
        </is>
      </c>
      <c r="K405" s="3" t="n">
        <v>0.75</v>
      </c>
      <c r="L405" s="4" t="n">
        <v>48200</v>
      </c>
      <c r="M405" s="3" t="n">
        <v>0.08</v>
      </c>
      <c r="N405" s="3" t="n">
        <v>0.34</v>
      </c>
      <c r="O405" s="4">
        <f>ROUND(L405*K405*(1+M405+N405),2)</f>
        <v/>
      </c>
      <c r="P405" t="inlineStr">
        <is>
          <t>Ana Torres</t>
        </is>
      </c>
      <c r="Q405" t="inlineStr">
        <is>
          <t>México</t>
        </is>
      </c>
      <c r="R405" t="inlineStr">
        <is>
          <t>Ciudad de México</t>
        </is>
      </c>
    </row>
    <row r="406">
      <c r="A406" t="inlineStr">
        <is>
          <t>EMP-0405</t>
        </is>
      </c>
      <c r="B406" t="inlineStr">
        <is>
          <t>Lucía</t>
        </is>
      </c>
      <c r="C406" t="inlineStr">
        <is>
          <t>Ortega</t>
        </is>
      </c>
      <c r="D406" t="inlineStr">
        <is>
          <t>Marketing</t>
        </is>
      </c>
      <c r="E406" t="inlineStr">
        <is>
          <t>Especialista SEM</t>
        </is>
      </c>
      <c r="F406" t="inlineStr">
        <is>
          <t>Anuncios RRHH</t>
        </is>
      </c>
      <c r="G406" t="inlineStr">
        <is>
          <t>Indefinido</t>
        </is>
      </c>
      <c r="H406" s="2" t="n">
        <v>44254</v>
      </c>
      <c r="I406" s="2" t="n"/>
      <c r="J406" t="inlineStr">
        <is>
          <t>Activo</t>
        </is>
      </c>
      <c r="K406" s="3" t="n">
        <v>0.5</v>
      </c>
      <c r="L406" s="4" t="n">
        <v>38544</v>
      </c>
      <c r="M406" s="3" t="n">
        <v>0.08</v>
      </c>
      <c r="N406" s="3" t="n">
        <v>0.313</v>
      </c>
      <c r="O406" s="4">
        <f>ROUND(L406*K406*(1+M406+N406),2)</f>
        <v/>
      </c>
      <c r="P406" t="inlineStr">
        <is>
          <t>Ana Torres</t>
        </is>
      </c>
      <c r="Q406" t="inlineStr">
        <is>
          <t>España</t>
        </is>
      </c>
      <c r="R406" t="inlineStr">
        <is>
          <t>Barcelona</t>
        </is>
      </c>
    </row>
    <row r="407">
      <c r="A407" t="inlineStr">
        <is>
          <t>EMP-0406</t>
        </is>
      </c>
      <c r="B407" t="inlineStr">
        <is>
          <t>Pablo</t>
        </is>
      </c>
      <c r="C407" t="inlineStr">
        <is>
          <t>Fernández</t>
        </is>
      </c>
      <c r="D407" t="inlineStr">
        <is>
          <t>Marketing</t>
        </is>
      </c>
      <c r="E407" t="inlineStr">
        <is>
          <t>Media planner</t>
        </is>
      </c>
      <c r="F407" t="inlineStr">
        <is>
          <t>Anuncios RRHH</t>
        </is>
      </c>
      <c r="G407" t="inlineStr">
        <is>
          <t>Indefinido</t>
        </is>
      </c>
      <c r="H407" s="2" t="n">
        <v>44485</v>
      </c>
      <c r="I407" s="2" t="n"/>
      <c r="J407" t="inlineStr">
        <is>
          <t>Activo</t>
        </is>
      </c>
      <c r="K407" s="3" t="n">
        <v>1</v>
      </c>
      <c r="L407" s="4" t="n">
        <v>48079</v>
      </c>
      <c r="M407" s="3" t="n">
        <v>0</v>
      </c>
      <c r="N407" s="3" t="n">
        <v>0.319</v>
      </c>
      <c r="O407" s="4">
        <f>ROUND(L407*K407*(1+M407+N407),2)</f>
        <v/>
      </c>
      <c r="P407" t="inlineStr">
        <is>
          <t>Luis Gómez</t>
        </is>
      </c>
      <c r="Q407" t="inlineStr">
        <is>
          <t>España</t>
        </is>
      </c>
      <c r="R407" t="inlineStr">
        <is>
          <t>Madrid</t>
        </is>
      </c>
    </row>
    <row r="408">
      <c r="A408" t="inlineStr">
        <is>
          <t>EMP-0407</t>
        </is>
      </c>
      <c r="B408" t="inlineStr">
        <is>
          <t>Nuria</t>
        </is>
      </c>
      <c r="C408" t="inlineStr">
        <is>
          <t>Iglesias</t>
        </is>
      </c>
      <c r="D408" t="inlineStr">
        <is>
          <t>Finanzas</t>
        </is>
      </c>
      <c r="E408" t="inlineStr">
        <is>
          <t>Técnico de facturación</t>
        </is>
      </c>
      <c r="F408" t="inlineStr">
        <is>
          <t>Anuncios TV</t>
        </is>
      </c>
      <c r="G408" t="inlineStr">
        <is>
          <t>Temporal</t>
        </is>
      </c>
      <c r="H408" s="2" t="n">
        <v>45235</v>
      </c>
      <c r="I408" s="2" t="n"/>
      <c r="J408" t="inlineStr">
        <is>
          <t>Activo</t>
        </is>
      </c>
      <c r="K408" s="3" t="n">
        <v>1</v>
      </c>
      <c r="L408" s="4" t="n">
        <v>40192</v>
      </c>
      <c r="M408" s="3" t="n">
        <v>0.08</v>
      </c>
      <c r="N408" s="3" t="n">
        <v>0.281</v>
      </c>
      <c r="O408" s="4">
        <f>ROUND(L408*K408*(1+M408+N408),2)</f>
        <v/>
      </c>
      <c r="P408" t="inlineStr">
        <is>
          <t>Jorge Molina</t>
        </is>
      </c>
      <c r="Q408" t="inlineStr">
        <is>
          <t>Colombia</t>
        </is>
      </c>
      <c r="R408" t="inlineStr">
        <is>
          <t>Medellín</t>
        </is>
      </c>
    </row>
    <row r="409">
      <c r="A409" t="inlineStr">
        <is>
          <t>EMP-0408</t>
        </is>
      </c>
      <c r="B409" t="inlineStr">
        <is>
          <t>Rubén</t>
        </is>
      </c>
      <c r="C409" t="inlineStr">
        <is>
          <t>Morales</t>
        </is>
      </c>
      <c r="D409" t="inlineStr">
        <is>
          <t>Marketing</t>
        </is>
      </c>
      <c r="E409" t="inlineStr">
        <is>
          <t>Especialista SEM</t>
        </is>
      </c>
      <c r="F409" t="inlineStr">
        <is>
          <t>Anuncios RRHH</t>
        </is>
      </c>
      <c r="G409" t="inlineStr">
        <is>
          <t>Indefinido</t>
        </is>
      </c>
      <c r="H409" s="2" t="n">
        <v>44637</v>
      </c>
      <c r="I409" s="2" t="n"/>
      <c r="J409" t="inlineStr">
        <is>
          <t>Activo</t>
        </is>
      </c>
      <c r="K409" s="3" t="n">
        <v>0.75</v>
      </c>
      <c r="L409" s="4" t="n">
        <v>49670</v>
      </c>
      <c r="M409" s="3" t="n">
        <v>0.05</v>
      </c>
      <c r="N409" s="3" t="n">
        <v>0.291</v>
      </c>
      <c r="O409" s="4">
        <f>ROUND(L409*K409*(1+M409+N409),2)</f>
        <v/>
      </c>
      <c r="P409" t="inlineStr">
        <is>
          <t>Patricia Romero</t>
        </is>
      </c>
      <c r="Q409" t="inlineStr">
        <is>
          <t>España</t>
        </is>
      </c>
      <c r="R409" t="inlineStr">
        <is>
          <t>Barcelona</t>
        </is>
      </c>
    </row>
    <row r="410">
      <c r="A410" t="inlineStr">
        <is>
          <t>EMP-0409</t>
        </is>
      </c>
      <c r="B410" t="inlineStr">
        <is>
          <t>Iván</t>
        </is>
      </c>
      <c r="C410" t="inlineStr">
        <is>
          <t>Cano</t>
        </is>
      </c>
      <c r="D410" t="inlineStr">
        <is>
          <t>Marketing</t>
        </is>
      </c>
      <c r="E410" t="inlineStr">
        <is>
          <t>Media planner</t>
        </is>
      </c>
      <c r="F410" t="inlineStr">
        <is>
          <t>Mantenimiento web</t>
        </is>
      </c>
      <c r="G410" t="inlineStr">
        <is>
          <t>Indefinido</t>
        </is>
      </c>
      <c r="H410" s="2" t="n">
        <v>44952</v>
      </c>
      <c r="I410" s="2" t="n"/>
      <c r="J410" t="inlineStr">
        <is>
          <t>Activo</t>
        </is>
      </c>
      <c r="K410" s="3" t="n">
        <v>1</v>
      </c>
      <c r="L410" s="4" t="n">
        <v>37383</v>
      </c>
      <c r="M410" s="3" t="n">
        <v>0.03</v>
      </c>
      <c r="N410" s="3" t="n">
        <v>0.291</v>
      </c>
      <c r="O410" s="4">
        <f>ROUND(L410*K410*(1+M410+N410),2)</f>
        <v/>
      </c>
      <c r="P410" t="inlineStr">
        <is>
          <t>Ana Torres</t>
        </is>
      </c>
      <c r="Q410" t="inlineStr">
        <is>
          <t>España</t>
        </is>
      </c>
      <c r="R410" t="inlineStr">
        <is>
          <t>Madrid</t>
        </is>
      </c>
    </row>
    <row r="411">
      <c r="A411" t="inlineStr">
        <is>
          <t>EMP-0410</t>
        </is>
      </c>
      <c r="B411" t="inlineStr">
        <is>
          <t>Beatriz</t>
        </is>
      </c>
      <c r="C411" t="inlineStr">
        <is>
          <t>Cano</t>
        </is>
      </c>
      <c r="D411" t="inlineStr">
        <is>
          <t>Tecnología</t>
        </is>
      </c>
      <c r="E411" t="inlineStr">
        <is>
          <t>Administrador intranet</t>
        </is>
      </c>
      <c r="F411" t="inlineStr">
        <is>
          <t>Traducciones</t>
        </is>
      </c>
      <c r="G411" t="inlineStr">
        <is>
          <t>Indefinido</t>
        </is>
      </c>
      <c r="H411" s="2" t="n">
        <v>43880</v>
      </c>
      <c r="I411" s="2" t="n"/>
      <c r="J411" t="inlineStr">
        <is>
          <t>Activo</t>
        </is>
      </c>
      <c r="K411" s="3" t="n">
        <v>1</v>
      </c>
      <c r="L411" s="4" t="n">
        <v>57158</v>
      </c>
      <c r="M411" s="3" t="n">
        <v>0.08</v>
      </c>
      <c r="N411" s="3" t="n">
        <v>0.299</v>
      </c>
      <c r="O411" s="4">
        <f>ROUND(L411*K411*(1+M411+N411),2)</f>
        <v/>
      </c>
      <c r="P411" t="inlineStr">
        <is>
          <t>Luis Gómez</t>
        </is>
      </c>
      <c r="Q411" t="inlineStr">
        <is>
          <t>España</t>
        </is>
      </c>
      <c r="R411" t="inlineStr">
        <is>
          <t>Madrid</t>
        </is>
      </c>
    </row>
    <row r="412">
      <c r="A412" t="inlineStr">
        <is>
          <t>EMP-0411</t>
        </is>
      </c>
      <c r="B412" t="inlineStr">
        <is>
          <t>Miguel</t>
        </is>
      </c>
      <c r="C412" t="inlineStr">
        <is>
          <t>Suárez</t>
        </is>
      </c>
      <c r="D412" t="inlineStr">
        <is>
          <t>Redacción</t>
        </is>
      </c>
      <c r="E412" t="inlineStr">
        <is>
          <t>Redactor</t>
        </is>
      </c>
      <c r="F412" t="inlineStr">
        <is>
          <t>Anuncios TV</t>
        </is>
      </c>
      <c r="G412" t="inlineStr">
        <is>
          <t>Indefinido</t>
        </is>
      </c>
      <c r="H412" s="2" t="n">
        <v>44688</v>
      </c>
      <c r="I412" s="2" t="n"/>
      <c r="J412" t="inlineStr">
        <is>
          <t>Activo</t>
        </is>
      </c>
      <c r="K412" s="3" t="n">
        <v>1</v>
      </c>
      <c r="L412" s="4" t="n">
        <v>25795</v>
      </c>
      <c r="M412" s="3" t="n">
        <v>0</v>
      </c>
      <c r="N412" s="3" t="n">
        <v>0.299</v>
      </c>
      <c r="O412" s="4">
        <f>ROUND(L412*K412*(1+M412+N412),2)</f>
        <v/>
      </c>
      <c r="P412" t="inlineStr">
        <is>
          <t>Jorge Molina</t>
        </is>
      </c>
      <c r="Q412" t="inlineStr">
        <is>
          <t>Portugal</t>
        </is>
      </c>
      <c r="R412" t="inlineStr">
        <is>
          <t>Lisboa</t>
        </is>
      </c>
    </row>
    <row r="413">
      <c r="A413" t="inlineStr">
        <is>
          <t>EMP-0412</t>
        </is>
      </c>
      <c r="B413" t="inlineStr">
        <is>
          <t>Paula</t>
        </is>
      </c>
      <c r="C413" t="inlineStr">
        <is>
          <t>Vázquez</t>
        </is>
      </c>
      <c r="D413" t="inlineStr">
        <is>
          <t>Redacción</t>
        </is>
      </c>
      <c r="E413" t="inlineStr">
        <is>
          <t>Editor</t>
        </is>
      </c>
      <c r="F413" t="inlineStr">
        <is>
          <t>Anuncios RRHH</t>
        </is>
      </c>
      <c r="G413" t="inlineStr">
        <is>
          <t>Temporal</t>
        </is>
      </c>
      <c r="H413" s="2" t="n">
        <v>44380</v>
      </c>
      <c r="I413" s="2" t="n">
        <v>45199</v>
      </c>
      <c r="J413" t="inlineStr">
        <is>
          <t>Baja</t>
        </is>
      </c>
      <c r="K413" s="3" t="n">
        <v>0.75</v>
      </c>
      <c r="L413" s="4" t="n">
        <v>32514</v>
      </c>
      <c r="M413" s="3" t="n">
        <v>0</v>
      </c>
      <c r="N413" s="3" t="n">
        <v>0.292</v>
      </c>
      <c r="O413" s="4">
        <f>ROUND(L413*K413*(1+M413+N413),2)</f>
        <v/>
      </c>
      <c r="P413" t="inlineStr">
        <is>
          <t>Silvia Navarro</t>
        </is>
      </c>
      <c r="Q413" t="inlineStr">
        <is>
          <t>España</t>
        </is>
      </c>
      <c r="R413" t="inlineStr">
        <is>
          <t>Madrid</t>
        </is>
      </c>
    </row>
    <row r="414">
      <c r="A414" t="inlineStr">
        <is>
          <t>EMP-0413</t>
        </is>
      </c>
      <c r="B414" t="inlineStr">
        <is>
          <t>Diego</t>
        </is>
      </c>
      <c r="C414" t="inlineStr">
        <is>
          <t>Gómez</t>
        </is>
      </c>
      <c r="D414" t="inlineStr">
        <is>
          <t>Marketing</t>
        </is>
      </c>
      <c r="E414" t="inlineStr">
        <is>
          <t>Campaign manager</t>
        </is>
      </c>
      <c r="F414" t="inlineStr">
        <is>
          <t>Anuncios internet</t>
        </is>
      </c>
      <c r="G414" t="inlineStr">
        <is>
          <t>Indefinido</t>
        </is>
      </c>
      <c r="H414" s="2" t="n">
        <v>43163</v>
      </c>
      <c r="I414" s="2" t="n"/>
      <c r="J414" t="inlineStr">
        <is>
          <t>Activo</t>
        </is>
      </c>
      <c r="K414" s="3" t="n">
        <v>1</v>
      </c>
      <c r="L414" s="4" t="n">
        <v>43682</v>
      </c>
      <c r="M414" s="3" t="n">
        <v>0</v>
      </c>
      <c r="N414" s="3" t="n">
        <v>0.313</v>
      </c>
      <c r="O414" s="4">
        <f>ROUND(L414*K414*(1+M414+N414),2)</f>
        <v/>
      </c>
      <c r="P414" t="inlineStr">
        <is>
          <t>Patricia Romero</t>
        </is>
      </c>
      <c r="Q414" t="inlineStr">
        <is>
          <t>Portugal</t>
        </is>
      </c>
      <c r="R414" t="inlineStr">
        <is>
          <t>Oporto</t>
        </is>
      </c>
    </row>
    <row r="415">
      <c r="A415" t="inlineStr">
        <is>
          <t>EMP-0414</t>
        </is>
      </c>
      <c r="B415" t="inlineStr">
        <is>
          <t>Marina</t>
        </is>
      </c>
      <c r="C415" t="inlineStr">
        <is>
          <t>Ruiz</t>
        </is>
      </c>
      <c r="D415" t="inlineStr">
        <is>
          <t>Comercial</t>
        </is>
      </c>
      <c r="E415" t="inlineStr">
        <is>
          <t>Sales manager</t>
        </is>
      </c>
      <c r="F415" t="inlineStr">
        <is>
          <t>Publicación de noticias</t>
        </is>
      </c>
      <c r="G415" t="inlineStr">
        <is>
          <t>Indefinido</t>
        </is>
      </c>
      <c r="H415" s="2" t="n">
        <v>44376</v>
      </c>
      <c r="I415" s="2" t="n"/>
      <c r="J415" t="inlineStr">
        <is>
          <t>Activo</t>
        </is>
      </c>
      <c r="K415" s="3" t="n">
        <v>1</v>
      </c>
      <c r="L415" s="4" t="n">
        <v>47347</v>
      </c>
      <c r="M415" s="3" t="n">
        <v>0</v>
      </c>
      <c r="N415" s="3" t="n">
        <v>0.288</v>
      </c>
      <c r="O415" s="4">
        <f>ROUND(L415*K415*(1+M415+N415),2)</f>
        <v/>
      </c>
      <c r="P415" t="inlineStr">
        <is>
          <t>Jorge Molina</t>
        </is>
      </c>
      <c r="Q415" t="inlineStr">
        <is>
          <t>Chile</t>
        </is>
      </c>
      <c r="R415" t="inlineStr">
        <is>
          <t>Santiago</t>
        </is>
      </c>
    </row>
    <row r="416">
      <c r="A416" t="inlineStr">
        <is>
          <t>EMP-0415</t>
        </is>
      </c>
      <c r="B416" t="inlineStr">
        <is>
          <t>Víctor</t>
        </is>
      </c>
      <c r="C416" t="inlineStr">
        <is>
          <t>Alonso</t>
        </is>
      </c>
      <c r="D416" t="inlineStr">
        <is>
          <t>Operaciones</t>
        </is>
      </c>
      <c r="E416" t="inlineStr">
        <is>
          <t>Coordinador de operaciones</t>
        </is>
      </c>
      <c r="F416" t="inlineStr">
        <is>
          <t>Traducciones</t>
        </is>
      </c>
      <c r="G416" t="inlineStr">
        <is>
          <t>Indefinido</t>
        </is>
      </c>
      <c r="H416" s="2" t="n">
        <v>45542</v>
      </c>
      <c r="I416" s="2" t="n"/>
      <c r="J416" t="inlineStr">
        <is>
          <t>Activo</t>
        </is>
      </c>
      <c r="K416" s="3" t="n">
        <v>1</v>
      </c>
      <c r="L416" s="4" t="n">
        <v>42195</v>
      </c>
      <c r="M416" s="3" t="n">
        <v>0.03</v>
      </c>
      <c r="N416" s="3" t="n">
        <v>0.299</v>
      </c>
      <c r="O416" s="4">
        <f>ROUND(L416*K416*(1+M416+N416),2)</f>
        <v/>
      </c>
      <c r="P416" t="inlineStr">
        <is>
          <t>Jorge Molina</t>
        </is>
      </c>
      <c r="Q416" t="inlineStr">
        <is>
          <t>España</t>
        </is>
      </c>
      <c r="R416" t="inlineStr">
        <is>
          <t>Madrid</t>
        </is>
      </c>
    </row>
    <row r="417">
      <c r="A417" t="inlineStr">
        <is>
          <t>EMP-0416</t>
        </is>
      </c>
      <c r="B417" t="inlineStr">
        <is>
          <t>Marina</t>
        </is>
      </c>
      <c r="C417" t="inlineStr">
        <is>
          <t>Pérez</t>
        </is>
      </c>
      <c r="D417" t="inlineStr">
        <is>
          <t>Atención al cliente</t>
        </is>
      </c>
      <c r="E417" t="inlineStr">
        <is>
          <t>Soporte cliente</t>
        </is>
      </c>
      <c r="F417" t="inlineStr">
        <is>
          <t>Traducciones</t>
        </is>
      </c>
      <c r="G417" t="inlineStr">
        <is>
          <t>Indefinido</t>
        </is>
      </c>
      <c r="H417" s="2" t="n">
        <v>45019</v>
      </c>
      <c r="I417" s="2" t="n"/>
      <c r="J417" t="inlineStr">
        <is>
          <t>Activo</t>
        </is>
      </c>
      <c r="K417" s="3" t="n">
        <v>1</v>
      </c>
      <c r="L417" s="4" t="n">
        <v>44428</v>
      </c>
      <c r="M417" s="3" t="n">
        <v>0.1</v>
      </c>
      <c r="N417" s="3" t="n">
        <v>0.323</v>
      </c>
      <c r="O417" s="4">
        <f>ROUND(L417*K417*(1+M417+N417),2)</f>
        <v/>
      </c>
      <c r="P417" t="inlineStr">
        <is>
          <t>Fernando Ruiz</t>
        </is>
      </c>
      <c r="Q417" t="inlineStr">
        <is>
          <t>Chile</t>
        </is>
      </c>
      <c r="R417" t="inlineStr">
        <is>
          <t>Santiago</t>
        </is>
      </c>
    </row>
    <row r="418">
      <c r="A418" t="inlineStr">
        <is>
          <t>EMP-0417</t>
        </is>
      </c>
      <c r="B418" t="inlineStr">
        <is>
          <t>Adrián</t>
        </is>
      </c>
      <c r="C418" t="inlineStr">
        <is>
          <t>Alonso</t>
        </is>
      </c>
      <c r="D418" t="inlineStr">
        <is>
          <t>Tecnología</t>
        </is>
      </c>
      <c r="E418" t="inlineStr">
        <is>
          <t>Desarrollador web</t>
        </is>
      </c>
      <c r="F418" t="inlineStr">
        <is>
          <t>Mantenimiento intranets</t>
        </is>
      </c>
      <c r="G418" t="inlineStr">
        <is>
          <t>Indefinido</t>
        </is>
      </c>
      <c r="H418" s="2" t="n">
        <v>44454</v>
      </c>
      <c r="I418" s="2" t="n"/>
      <c r="J418" t="inlineStr">
        <is>
          <t>Activo</t>
        </is>
      </c>
      <c r="K418" s="3" t="n">
        <v>1</v>
      </c>
      <c r="L418" s="4" t="n">
        <v>44846</v>
      </c>
      <c r="M418" s="3" t="n">
        <v>0</v>
      </c>
      <c r="N418" s="3" t="n">
        <v>0.284</v>
      </c>
      <c r="O418" s="4">
        <f>ROUND(L418*K418*(1+M418+N418),2)</f>
        <v/>
      </c>
      <c r="P418" t="inlineStr">
        <is>
          <t>Patricia Romero</t>
        </is>
      </c>
      <c r="Q418" t="inlineStr">
        <is>
          <t>España</t>
        </is>
      </c>
      <c r="R418" t="inlineStr">
        <is>
          <t>Valencia</t>
        </is>
      </c>
    </row>
    <row r="419">
      <c r="A419" t="inlineStr">
        <is>
          <t>EMP-0418</t>
        </is>
      </c>
      <c r="B419" t="inlineStr">
        <is>
          <t>Teresa</t>
        </is>
      </c>
      <c r="C419" t="inlineStr">
        <is>
          <t>Serrano</t>
        </is>
      </c>
      <c r="D419" t="inlineStr">
        <is>
          <t>Finanzas</t>
        </is>
      </c>
      <c r="E419" t="inlineStr">
        <is>
          <t>Controller</t>
        </is>
      </c>
      <c r="F419" t="inlineStr">
        <is>
          <t>Anuncios internet</t>
        </is>
      </c>
      <c r="G419" t="inlineStr">
        <is>
          <t>Indefinido</t>
        </is>
      </c>
      <c r="H419" s="2" t="n">
        <v>45181</v>
      </c>
      <c r="I419" s="2" t="n"/>
      <c r="J419" t="inlineStr">
        <is>
          <t>Activo</t>
        </is>
      </c>
      <c r="K419" s="3" t="n">
        <v>0.5</v>
      </c>
      <c r="L419" s="4" t="n">
        <v>32678</v>
      </c>
      <c r="M419" s="3" t="n">
        <v>0.08</v>
      </c>
      <c r="N419" s="3" t="n">
        <v>0.319</v>
      </c>
      <c r="O419" s="4">
        <f>ROUND(L419*K419*(1+M419+N419),2)</f>
        <v/>
      </c>
      <c r="P419" t="inlineStr">
        <is>
          <t>Silvia Navarro</t>
        </is>
      </c>
      <c r="Q419" t="inlineStr">
        <is>
          <t>Colombia</t>
        </is>
      </c>
      <c r="R419" t="inlineStr">
        <is>
          <t>Medellín</t>
        </is>
      </c>
    </row>
    <row r="420">
      <c r="A420" t="inlineStr">
        <is>
          <t>EMP-0419</t>
        </is>
      </c>
      <c r="B420" t="inlineStr">
        <is>
          <t>Álex</t>
        </is>
      </c>
      <c r="C420" t="inlineStr">
        <is>
          <t>Ruiz</t>
        </is>
      </c>
      <c r="D420" t="inlineStr">
        <is>
          <t>Finanzas</t>
        </is>
      </c>
      <c r="E420" t="inlineStr">
        <is>
          <t>Controller</t>
        </is>
      </c>
      <c r="F420" t="inlineStr">
        <is>
          <t>Anuncios prensa</t>
        </is>
      </c>
      <c r="G420" t="inlineStr">
        <is>
          <t>Indefinido</t>
        </is>
      </c>
      <c r="H420" s="2" t="n">
        <v>45076</v>
      </c>
      <c r="I420" s="2" t="n"/>
      <c r="J420" t="inlineStr">
        <is>
          <t>Activo</t>
        </is>
      </c>
      <c r="K420" s="3" t="n">
        <v>1</v>
      </c>
      <c r="L420" s="4" t="n">
        <v>28823</v>
      </c>
      <c r="M420" s="3" t="n">
        <v>0.12</v>
      </c>
      <c r="N420" s="3" t="n">
        <v>0.322</v>
      </c>
      <c r="O420" s="4">
        <f>ROUND(L420*K420*(1+M420+N420),2)</f>
        <v/>
      </c>
      <c r="P420" t="inlineStr">
        <is>
          <t>Fernando Ruiz</t>
        </is>
      </c>
      <c r="Q420" t="inlineStr">
        <is>
          <t>España</t>
        </is>
      </c>
      <c r="R420" t="inlineStr">
        <is>
          <t>Barcelona</t>
        </is>
      </c>
    </row>
    <row r="421">
      <c r="A421" t="inlineStr">
        <is>
          <t>EMP-0420</t>
        </is>
      </c>
      <c r="B421" t="inlineStr">
        <is>
          <t>Sofía</t>
        </is>
      </c>
      <c r="C421" t="inlineStr">
        <is>
          <t>Suárez</t>
        </is>
      </c>
      <c r="D421" t="inlineStr">
        <is>
          <t>Marketing</t>
        </is>
      </c>
      <c r="E421" t="inlineStr">
        <is>
          <t>Especialista SEM</t>
        </is>
      </c>
      <c r="F421" t="inlineStr">
        <is>
          <t>Anuncios TV</t>
        </is>
      </c>
      <c r="G421" t="inlineStr">
        <is>
          <t>Freelance</t>
        </is>
      </c>
      <c r="H421" s="2" t="n">
        <v>45452</v>
      </c>
      <c r="I421" s="2" t="n"/>
      <c r="J421" t="inlineStr">
        <is>
          <t>Activo</t>
        </is>
      </c>
      <c r="K421" s="3" t="n">
        <v>0.5</v>
      </c>
      <c r="L421" s="4" t="n">
        <v>50287</v>
      </c>
      <c r="M421" s="3" t="n">
        <v>0.05</v>
      </c>
      <c r="N421" s="3" t="n">
        <v>0.3</v>
      </c>
      <c r="O421" s="4">
        <f>ROUND(L421*K421*(1+M421+N421),2)</f>
        <v/>
      </c>
      <c r="P421" t="inlineStr">
        <is>
          <t>Fernando Ruiz</t>
        </is>
      </c>
      <c r="Q421" t="inlineStr">
        <is>
          <t>México</t>
        </is>
      </c>
      <c r="R421" t="inlineStr">
        <is>
          <t>Ciudad de México</t>
        </is>
      </c>
    </row>
    <row r="422">
      <c r="A422" t="inlineStr">
        <is>
          <t>EMP-0421</t>
        </is>
      </c>
      <c r="B422" t="inlineStr">
        <is>
          <t>Cristina</t>
        </is>
      </c>
      <c r="C422" t="inlineStr">
        <is>
          <t>Sánchez</t>
        </is>
      </c>
      <c r="D422" t="inlineStr">
        <is>
          <t>Traducción</t>
        </is>
      </c>
      <c r="E422" t="inlineStr">
        <is>
          <t>Traductor</t>
        </is>
      </c>
      <c r="F422" t="inlineStr">
        <is>
          <t>Generación de noticias</t>
        </is>
      </c>
      <c r="G422" t="inlineStr">
        <is>
          <t>Indefinido</t>
        </is>
      </c>
      <c r="H422" s="2" t="n">
        <v>45543</v>
      </c>
      <c r="I422" s="2" t="n"/>
      <c r="J422" t="inlineStr">
        <is>
          <t>Activo</t>
        </is>
      </c>
      <c r="K422" s="3" t="n">
        <v>1</v>
      </c>
      <c r="L422" s="4" t="n">
        <v>32728</v>
      </c>
      <c r="M422" s="3" t="n">
        <v>0.05</v>
      </c>
      <c r="N422" s="3" t="n">
        <v>0.319</v>
      </c>
      <c r="O422" s="4">
        <f>ROUND(L422*K422*(1+M422+N422),2)</f>
        <v/>
      </c>
      <c r="P422" t="inlineStr">
        <is>
          <t>Ana Torres</t>
        </is>
      </c>
      <c r="Q422" t="inlineStr">
        <is>
          <t>Chile</t>
        </is>
      </c>
      <c r="R422" t="inlineStr">
        <is>
          <t>Santiago</t>
        </is>
      </c>
    </row>
    <row r="423">
      <c r="A423" t="inlineStr">
        <is>
          <t>EMP-0422</t>
        </is>
      </c>
      <c r="B423" t="inlineStr">
        <is>
          <t>Diego</t>
        </is>
      </c>
      <c r="C423" t="inlineStr">
        <is>
          <t>Delgado</t>
        </is>
      </c>
      <c r="D423" t="inlineStr">
        <is>
          <t>Tecnología</t>
        </is>
      </c>
      <c r="E423" t="inlineStr">
        <is>
          <t>Administrador intranet</t>
        </is>
      </c>
      <c r="F423" t="inlineStr">
        <is>
          <t>Publicación de noticias</t>
        </is>
      </c>
      <c r="G423" t="inlineStr">
        <is>
          <t>Indefinido</t>
        </is>
      </c>
      <c r="H423" s="2" t="n">
        <v>45277</v>
      </c>
      <c r="I423" s="2" t="n"/>
      <c r="J423" t="inlineStr">
        <is>
          <t>Activo</t>
        </is>
      </c>
      <c r="K423" s="3" t="n">
        <v>1</v>
      </c>
      <c r="L423" s="4" t="n">
        <v>48600</v>
      </c>
      <c r="M423" s="3" t="n">
        <v>0</v>
      </c>
      <c r="N423" s="3" t="n">
        <v>0.292</v>
      </c>
      <c r="O423" s="4">
        <f>ROUND(L423*K423*(1+M423+N423),2)</f>
        <v/>
      </c>
      <c r="P423" t="inlineStr">
        <is>
          <t>Patricia Romero</t>
        </is>
      </c>
      <c r="Q423" t="inlineStr">
        <is>
          <t>Colombia</t>
        </is>
      </c>
      <c r="R423" t="inlineStr">
        <is>
          <t>Bogotá</t>
        </is>
      </c>
    </row>
    <row r="424">
      <c r="A424" t="inlineStr">
        <is>
          <t>EMP-0423</t>
        </is>
      </c>
      <c r="B424" t="inlineStr">
        <is>
          <t>Daniel</t>
        </is>
      </c>
      <c r="C424" t="inlineStr">
        <is>
          <t>Gil</t>
        </is>
      </c>
      <c r="D424" t="inlineStr">
        <is>
          <t>Comercial</t>
        </is>
      </c>
      <c r="E424" t="inlineStr">
        <is>
          <t>Business developer</t>
        </is>
      </c>
      <c r="F424" t="inlineStr">
        <is>
          <t>Anuncios prensa</t>
        </is>
      </c>
      <c r="G424" t="inlineStr">
        <is>
          <t>Indefinido</t>
        </is>
      </c>
      <c r="H424" s="2" t="n">
        <v>45191</v>
      </c>
      <c r="I424" s="2" t="n"/>
      <c r="J424" t="inlineStr">
        <is>
          <t>Activo</t>
        </is>
      </c>
      <c r="K424" s="3" t="n">
        <v>0.75</v>
      </c>
      <c r="L424" s="4" t="n">
        <v>56343</v>
      </c>
      <c r="M424" s="3" t="n">
        <v>0</v>
      </c>
      <c r="N424" s="3" t="n">
        <v>0.302</v>
      </c>
      <c r="O424" s="4">
        <f>ROUND(L424*K424*(1+M424+N424),2)</f>
        <v/>
      </c>
      <c r="P424" t="inlineStr">
        <is>
          <t>Ana Torres</t>
        </is>
      </c>
      <c r="Q424" t="inlineStr">
        <is>
          <t>México</t>
        </is>
      </c>
      <c r="R424" t="inlineStr">
        <is>
          <t>Guadalajara</t>
        </is>
      </c>
    </row>
    <row r="425">
      <c r="A425" t="inlineStr">
        <is>
          <t>EMP-0424</t>
        </is>
      </c>
      <c r="B425" t="inlineStr">
        <is>
          <t>Álvaro</t>
        </is>
      </c>
      <c r="C425" t="inlineStr">
        <is>
          <t>Marín</t>
        </is>
      </c>
      <c r="D425" t="inlineStr">
        <is>
          <t>Operaciones</t>
        </is>
      </c>
      <c r="E425" t="inlineStr">
        <is>
          <t>Especialista de cuentas</t>
        </is>
      </c>
      <c r="F425" t="inlineStr">
        <is>
          <t>Anuncios TV</t>
        </is>
      </c>
      <c r="G425" t="inlineStr">
        <is>
          <t>Indefinido</t>
        </is>
      </c>
      <c r="H425" s="2" t="n">
        <v>43228</v>
      </c>
      <c r="I425" s="2" t="n"/>
      <c r="J425" t="inlineStr">
        <is>
          <t>Activo</t>
        </is>
      </c>
      <c r="K425" s="3" t="n">
        <v>1</v>
      </c>
      <c r="L425" s="4" t="n">
        <v>34919</v>
      </c>
      <c r="M425" s="3" t="n">
        <v>0.1</v>
      </c>
      <c r="N425" s="3" t="n">
        <v>0.299</v>
      </c>
      <c r="O425" s="4">
        <f>ROUND(L425*K425*(1+M425+N425),2)</f>
        <v/>
      </c>
      <c r="P425" t="inlineStr">
        <is>
          <t>Fernando Ruiz</t>
        </is>
      </c>
      <c r="Q425" t="inlineStr">
        <is>
          <t>México</t>
        </is>
      </c>
      <c r="R425" t="inlineStr">
        <is>
          <t>Guadalajara</t>
        </is>
      </c>
    </row>
    <row r="426">
      <c r="A426" t="inlineStr">
        <is>
          <t>EMP-0425</t>
        </is>
      </c>
      <c r="B426" t="inlineStr">
        <is>
          <t>Beatriz</t>
        </is>
      </c>
      <c r="C426" t="inlineStr">
        <is>
          <t>Pérez</t>
        </is>
      </c>
      <c r="D426" t="inlineStr">
        <is>
          <t>RRHH</t>
        </is>
      </c>
      <c r="E426" t="inlineStr">
        <is>
          <t>Employer branding specialist</t>
        </is>
      </c>
      <c r="F426" t="inlineStr">
        <is>
          <t>Anuncios prensa</t>
        </is>
      </c>
      <c r="G426" t="inlineStr">
        <is>
          <t>Indefinido</t>
        </is>
      </c>
      <c r="H426" s="2" t="n">
        <v>44676</v>
      </c>
      <c r="I426" s="2" t="n"/>
      <c r="J426" t="inlineStr">
        <is>
          <t>Activo</t>
        </is>
      </c>
      <c r="K426" s="3" t="n">
        <v>1</v>
      </c>
      <c r="L426" s="4" t="n">
        <v>49523</v>
      </c>
      <c r="M426" s="3" t="n">
        <v>0.05</v>
      </c>
      <c r="N426" s="3" t="n">
        <v>0.289</v>
      </c>
      <c r="O426" s="4">
        <f>ROUND(L426*K426*(1+M426+N426),2)</f>
        <v/>
      </c>
      <c r="P426" t="inlineStr">
        <is>
          <t>Luis Gómez</t>
        </is>
      </c>
      <c r="Q426" t="inlineStr">
        <is>
          <t>España</t>
        </is>
      </c>
      <c r="R426" t="inlineStr">
        <is>
          <t>Barcelona</t>
        </is>
      </c>
    </row>
    <row r="427">
      <c r="A427" t="inlineStr">
        <is>
          <t>EMP-0426</t>
        </is>
      </c>
      <c r="B427" t="inlineStr">
        <is>
          <t>Diego</t>
        </is>
      </c>
      <c r="C427" t="inlineStr">
        <is>
          <t>Suárez</t>
        </is>
      </c>
      <c r="D427" t="inlineStr">
        <is>
          <t>Traducción</t>
        </is>
      </c>
      <c r="E427" t="inlineStr">
        <is>
          <t>Revisor lingüístico</t>
        </is>
      </c>
      <c r="F427" t="inlineStr">
        <is>
          <t>Mantenimiento web</t>
        </is>
      </c>
      <c r="G427" t="inlineStr">
        <is>
          <t>Temporal</t>
        </is>
      </c>
      <c r="H427" s="2" t="n">
        <v>44889</v>
      </c>
      <c r="I427" s="2" t="n"/>
      <c r="J427" t="inlineStr">
        <is>
          <t>Activo</t>
        </is>
      </c>
      <c r="K427" s="3" t="n">
        <v>0.75</v>
      </c>
      <c r="L427" s="4" t="n">
        <v>24774</v>
      </c>
      <c r="M427" s="3" t="n">
        <v>0</v>
      </c>
      <c r="N427" s="3" t="n">
        <v>0.319</v>
      </c>
      <c r="O427" s="4">
        <f>ROUND(L427*K427*(1+M427+N427),2)</f>
        <v/>
      </c>
      <c r="P427" t="inlineStr">
        <is>
          <t>Fernando Ruiz</t>
        </is>
      </c>
      <c r="Q427" t="inlineStr">
        <is>
          <t>España</t>
        </is>
      </c>
      <c r="R427" t="inlineStr">
        <is>
          <t>Madrid</t>
        </is>
      </c>
    </row>
    <row r="428">
      <c r="A428" t="inlineStr">
        <is>
          <t>EMP-0427</t>
        </is>
      </c>
      <c r="B428" t="inlineStr">
        <is>
          <t>Gonzalo</t>
        </is>
      </c>
      <c r="C428" t="inlineStr">
        <is>
          <t>Morales</t>
        </is>
      </c>
      <c r="D428" t="inlineStr">
        <is>
          <t>RRHH</t>
        </is>
      </c>
      <c r="E428" t="inlineStr">
        <is>
          <t>Employer branding specialist</t>
        </is>
      </c>
      <c r="F428" t="inlineStr">
        <is>
          <t>Publicación de noticias</t>
        </is>
      </c>
      <c r="G428" t="inlineStr">
        <is>
          <t>Indefinido</t>
        </is>
      </c>
      <c r="H428" s="2" t="n">
        <v>44556</v>
      </c>
      <c r="I428" s="2" t="n"/>
      <c r="J428" t="inlineStr">
        <is>
          <t>Activo</t>
        </is>
      </c>
      <c r="K428" s="3" t="n">
        <v>1</v>
      </c>
      <c r="L428" s="4" t="n">
        <v>41810</v>
      </c>
      <c r="M428" s="3" t="n">
        <v>0</v>
      </c>
      <c r="N428" s="3" t="n">
        <v>0.315</v>
      </c>
      <c r="O428" s="4">
        <f>ROUND(L428*K428*(1+M428+N428),2)</f>
        <v/>
      </c>
      <c r="P428" t="inlineStr">
        <is>
          <t>Luis Gómez</t>
        </is>
      </c>
      <c r="Q428" t="inlineStr">
        <is>
          <t>España</t>
        </is>
      </c>
      <c r="R428" t="inlineStr">
        <is>
          <t>Sevilla</t>
        </is>
      </c>
    </row>
    <row r="429">
      <c r="A429" t="inlineStr">
        <is>
          <t>EMP-0428</t>
        </is>
      </c>
      <c r="B429" t="inlineStr">
        <is>
          <t>Marta</t>
        </is>
      </c>
      <c r="C429" t="inlineStr">
        <is>
          <t>Martínez</t>
        </is>
      </c>
      <c r="D429" t="inlineStr">
        <is>
          <t>Atención al cliente</t>
        </is>
      </c>
      <c r="E429" t="inlineStr">
        <is>
          <t>Account support</t>
        </is>
      </c>
      <c r="F429" t="inlineStr">
        <is>
          <t>Generación de noticias</t>
        </is>
      </c>
      <c r="G429" t="inlineStr">
        <is>
          <t>Indefinido</t>
        </is>
      </c>
      <c r="H429" s="2" t="n">
        <v>44610</v>
      </c>
      <c r="I429" s="2" t="n"/>
      <c r="J429" t="inlineStr">
        <is>
          <t>Activo</t>
        </is>
      </c>
      <c r="K429" s="3" t="n">
        <v>1</v>
      </c>
      <c r="L429" s="4" t="n">
        <v>44626</v>
      </c>
      <c r="M429" s="3" t="n">
        <v>0</v>
      </c>
      <c r="N429" s="3" t="n">
        <v>0.289</v>
      </c>
      <c r="O429" s="4">
        <f>ROUND(L429*K429*(1+M429+N429),2)</f>
        <v/>
      </c>
      <c r="P429" t="inlineStr">
        <is>
          <t>Silvia Navarro</t>
        </is>
      </c>
      <c r="Q429" t="inlineStr">
        <is>
          <t>España</t>
        </is>
      </c>
      <c r="R429" t="inlineStr">
        <is>
          <t>Valencia</t>
        </is>
      </c>
    </row>
    <row r="430">
      <c r="A430" t="inlineStr">
        <is>
          <t>EMP-0429</t>
        </is>
      </c>
      <c r="B430" t="inlineStr">
        <is>
          <t>Sergio</t>
        </is>
      </c>
      <c r="C430" t="inlineStr">
        <is>
          <t>Domínguez</t>
        </is>
      </c>
      <c r="D430" t="inlineStr">
        <is>
          <t>Comercial</t>
        </is>
      </c>
      <c r="E430" t="inlineStr">
        <is>
          <t>Sales manager</t>
        </is>
      </c>
      <c r="F430" t="inlineStr">
        <is>
          <t>Anuncios internet</t>
        </is>
      </c>
      <c r="G430" t="inlineStr">
        <is>
          <t>Indefinido</t>
        </is>
      </c>
      <c r="H430" s="2" t="n">
        <v>43420</v>
      </c>
      <c r="I430" s="2" t="n"/>
      <c r="J430" t="inlineStr">
        <is>
          <t>Activo</t>
        </is>
      </c>
      <c r="K430" s="3" t="n">
        <v>1</v>
      </c>
      <c r="L430" s="4" t="n">
        <v>56900</v>
      </c>
      <c r="M430" s="3" t="n">
        <v>0.03</v>
      </c>
      <c r="N430" s="3" t="n">
        <v>0.317</v>
      </c>
      <c r="O430" s="4">
        <f>ROUND(L430*K430*(1+M430+N430),2)</f>
        <v/>
      </c>
      <c r="P430" t="inlineStr">
        <is>
          <t>Silvia Navarro</t>
        </is>
      </c>
      <c r="Q430" t="inlineStr">
        <is>
          <t>España</t>
        </is>
      </c>
      <c r="R430" t="inlineStr">
        <is>
          <t>Madrid</t>
        </is>
      </c>
    </row>
    <row r="431">
      <c r="A431" t="inlineStr">
        <is>
          <t>EMP-0430</t>
        </is>
      </c>
      <c r="B431" t="inlineStr">
        <is>
          <t>Marina</t>
        </is>
      </c>
      <c r="C431" t="inlineStr">
        <is>
          <t>Suárez</t>
        </is>
      </c>
      <c r="D431" t="inlineStr">
        <is>
          <t>Operaciones</t>
        </is>
      </c>
      <c r="E431" t="inlineStr">
        <is>
          <t>Project manager</t>
        </is>
      </c>
      <c r="F431" t="inlineStr">
        <is>
          <t>Anuncios internet</t>
        </is>
      </c>
      <c r="G431" t="inlineStr">
        <is>
          <t>Indefinido</t>
        </is>
      </c>
      <c r="H431" s="2" t="n">
        <v>44546</v>
      </c>
      <c r="I431" s="2" t="n"/>
      <c r="J431" t="inlineStr">
        <is>
          <t>Activo</t>
        </is>
      </c>
      <c r="K431" s="3" t="n">
        <v>1</v>
      </c>
      <c r="L431" s="4" t="n">
        <v>31476</v>
      </c>
      <c r="M431" s="3" t="n">
        <v>0</v>
      </c>
      <c r="N431" s="3" t="n">
        <v>0.282</v>
      </c>
      <c r="O431" s="4">
        <f>ROUND(L431*K431*(1+M431+N431),2)</f>
        <v/>
      </c>
      <c r="P431" t="inlineStr">
        <is>
          <t>Jorge Molina</t>
        </is>
      </c>
      <c r="Q431" t="inlineStr">
        <is>
          <t>España</t>
        </is>
      </c>
      <c r="R431" t="inlineStr">
        <is>
          <t>Sevilla</t>
        </is>
      </c>
    </row>
    <row r="432">
      <c r="A432" t="inlineStr">
        <is>
          <t>EMP-0431</t>
        </is>
      </c>
      <c r="B432" t="inlineStr">
        <is>
          <t>Joel</t>
        </is>
      </c>
      <c r="C432" t="inlineStr">
        <is>
          <t>Gómez</t>
        </is>
      </c>
      <c r="D432" t="inlineStr">
        <is>
          <t>Comercial</t>
        </is>
      </c>
      <c r="E432" t="inlineStr">
        <is>
          <t>Business developer</t>
        </is>
      </c>
      <c r="F432" t="inlineStr">
        <is>
          <t>Generación de noticias</t>
        </is>
      </c>
      <c r="G432" t="inlineStr">
        <is>
          <t>Indefinido</t>
        </is>
      </c>
      <c r="H432" s="2" t="n">
        <v>44296</v>
      </c>
      <c r="I432" s="2" t="n"/>
      <c r="J432" t="inlineStr">
        <is>
          <t>Activo</t>
        </is>
      </c>
      <c r="K432" s="3" t="n">
        <v>1</v>
      </c>
      <c r="L432" s="4" t="n">
        <v>29243</v>
      </c>
      <c r="M432" s="3" t="n">
        <v>0.05</v>
      </c>
      <c r="N432" s="3" t="n">
        <v>0.285</v>
      </c>
      <c r="O432" s="4">
        <f>ROUND(L432*K432*(1+M432+N432),2)</f>
        <v/>
      </c>
      <c r="P432" t="inlineStr">
        <is>
          <t>Ana Torres</t>
        </is>
      </c>
      <c r="Q432" t="inlineStr">
        <is>
          <t>España</t>
        </is>
      </c>
      <c r="R432" t="inlineStr">
        <is>
          <t>Sevilla</t>
        </is>
      </c>
    </row>
    <row r="433">
      <c r="A433" t="inlineStr">
        <is>
          <t>EMP-0432</t>
        </is>
      </c>
      <c r="B433" t="inlineStr">
        <is>
          <t>Rubén</t>
        </is>
      </c>
      <c r="C433" t="inlineStr">
        <is>
          <t>Marín</t>
        </is>
      </c>
      <c r="D433" t="inlineStr">
        <is>
          <t>Comercial</t>
        </is>
      </c>
      <c r="E433" t="inlineStr">
        <is>
          <t>Ejecutivo de cuentas</t>
        </is>
      </c>
      <c r="F433" t="inlineStr">
        <is>
          <t>Generación de noticias</t>
        </is>
      </c>
      <c r="G433" t="inlineStr">
        <is>
          <t>Indefinido</t>
        </is>
      </c>
      <c r="H433" s="2" t="n">
        <v>43557</v>
      </c>
      <c r="I433" s="2" t="n"/>
      <c r="J433" t="inlineStr">
        <is>
          <t>Activo</t>
        </is>
      </c>
      <c r="K433" s="3" t="n">
        <v>1</v>
      </c>
      <c r="L433" s="4" t="n">
        <v>51452</v>
      </c>
      <c r="M433" s="3" t="n">
        <v>0.1</v>
      </c>
      <c r="N433" s="3" t="n">
        <v>0.307</v>
      </c>
      <c r="O433" s="4">
        <f>ROUND(L433*K433*(1+M433+N433),2)</f>
        <v/>
      </c>
      <c r="P433" t="inlineStr">
        <is>
          <t>Patricia Romero</t>
        </is>
      </c>
      <c r="Q433" t="inlineStr">
        <is>
          <t>España</t>
        </is>
      </c>
      <c r="R433" t="inlineStr">
        <is>
          <t>Valencia</t>
        </is>
      </c>
    </row>
    <row r="434">
      <c r="A434" t="inlineStr">
        <is>
          <t>EMP-0433</t>
        </is>
      </c>
      <c r="B434" t="inlineStr">
        <is>
          <t>Marcos</t>
        </is>
      </c>
      <c r="C434" t="inlineStr">
        <is>
          <t>López</t>
        </is>
      </c>
      <c r="D434" t="inlineStr">
        <is>
          <t>Tecnología</t>
        </is>
      </c>
      <c r="E434" t="inlineStr">
        <is>
          <t>Administrador intranet</t>
        </is>
      </c>
      <c r="F434" t="inlineStr">
        <is>
          <t>Anuncios internet</t>
        </is>
      </c>
      <c r="G434" t="inlineStr">
        <is>
          <t>Freelance</t>
        </is>
      </c>
      <c r="H434" s="2" t="n">
        <v>45540</v>
      </c>
      <c r="I434" s="2" t="n"/>
      <c r="J434" t="inlineStr">
        <is>
          <t>Activo</t>
        </is>
      </c>
      <c r="K434" s="3" t="n">
        <v>0.75</v>
      </c>
      <c r="L434" s="4" t="n">
        <v>57508</v>
      </c>
      <c r="M434" s="3" t="n">
        <v>0.12</v>
      </c>
      <c r="N434" s="3" t="n">
        <v>0.34</v>
      </c>
      <c r="O434" s="4">
        <f>ROUND(L434*K434*(1+M434+N434),2)</f>
        <v/>
      </c>
      <c r="P434" t="inlineStr">
        <is>
          <t>Luis Gómez</t>
        </is>
      </c>
      <c r="Q434" t="inlineStr">
        <is>
          <t>España</t>
        </is>
      </c>
      <c r="R434" t="inlineStr">
        <is>
          <t>Madrid</t>
        </is>
      </c>
    </row>
    <row r="435">
      <c r="A435" t="inlineStr">
        <is>
          <t>EMP-0434</t>
        </is>
      </c>
      <c r="B435" t="inlineStr">
        <is>
          <t>Javier</t>
        </is>
      </c>
      <c r="C435" t="inlineStr">
        <is>
          <t>Ortega</t>
        </is>
      </c>
      <c r="D435" t="inlineStr">
        <is>
          <t>Finanzas</t>
        </is>
      </c>
      <c r="E435" t="inlineStr">
        <is>
          <t>Técnico de facturación</t>
        </is>
      </c>
      <c r="F435" t="inlineStr">
        <is>
          <t>Publicación de noticias</t>
        </is>
      </c>
      <c r="G435" t="inlineStr">
        <is>
          <t>Indefinido</t>
        </is>
      </c>
      <c r="H435" s="2" t="n">
        <v>43576</v>
      </c>
      <c r="I435" s="2" t="n">
        <v>44706</v>
      </c>
      <c r="J435" t="inlineStr">
        <is>
          <t>Baja</t>
        </is>
      </c>
      <c r="K435" s="3" t="n">
        <v>1</v>
      </c>
      <c r="L435" s="4" t="n">
        <v>37605</v>
      </c>
      <c r="M435" s="3" t="n">
        <v>0.03</v>
      </c>
      <c r="N435" s="3" t="n">
        <v>0.309</v>
      </c>
      <c r="O435" s="4">
        <f>ROUND(L435*K435*(1+M435+N435),2)</f>
        <v/>
      </c>
      <c r="P435" t="inlineStr">
        <is>
          <t>Luis Gómez</t>
        </is>
      </c>
      <c r="Q435" t="inlineStr">
        <is>
          <t>España</t>
        </is>
      </c>
      <c r="R435" t="inlineStr">
        <is>
          <t>Valencia</t>
        </is>
      </c>
    </row>
    <row r="436">
      <c r="A436" t="inlineStr">
        <is>
          <t>EMP-0435</t>
        </is>
      </c>
      <c r="B436" t="inlineStr">
        <is>
          <t>David</t>
        </is>
      </c>
      <c r="C436" t="inlineStr">
        <is>
          <t>Marín</t>
        </is>
      </c>
      <c r="D436" t="inlineStr">
        <is>
          <t>RRHH</t>
        </is>
      </c>
      <c r="E436" t="inlineStr">
        <is>
          <t>Employer branding specialist</t>
        </is>
      </c>
      <c r="F436" t="inlineStr">
        <is>
          <t>Anuncios prensa</t>
        </is>
      </c>
      <c r="G436" t="inlineStr">
        <is>
          <t>Indefinido</t>
        </is>
      </c>
      <c r="H436" s="2" t="n">
        <v>44283</v>
      </c>
      <c r="I436" s="2" t="n"/>
      <c r="J436" t="inlineStr">
        <is>
          <t>Activo</t>
        </is>
      </c>
      <c r="K436" s="3" t="n">
        <v>1</v>
      </c>
      <c r="L436" s="4" t="n">
        <v>34517</v>
      </c>
      <c r="M436" s="3" t="n">
        <v>0.1</v>
      </c>
      <c r="N436" s="3" t="n">
        <v>0.299</v>
      </c>
      <c r="O436" s="4">
        <f>ROUND(L436*K436*(1+M436+N436),2)</f>
        <v/>
      </c>
      <c r="P436" t="inlineStr">
        <is>
          <t>Jorge Molina</t>
        </is>
      </c>
      <c r="Q436" t="inlineStr">
        <is>
          <t>España</t>
        </is>
      </c>
      <c r="R436" t="inlineStr">
        <is>
          <t>Barcelona</t>
        </is>
      </c>
    </row>
    <row r="437">
      <c r="A437" t="inlineStr">
        <is>
          <t>EMP-0436</t>
        </is>
      </c>
      <c r="B437" t="inlineStr">
        <is>
          <t>Víctor</t>
        </is>
      </c>
      <c r="C437" t="inlineStr">
        <is>
          <t>Serrano</t>
        </is>
      </c>
      <c r="D437" t="inlineStr">
        <is>
          <t>Operaciones</t>
        </is>
      </c>
      <c r="E437" t="inlineStr">
        <is>
          <t>Project manager</t>
        </is>
      </c>
      <c r="F437" t="inlineStr">
        <is>
          <t>Traducciones</t>
        </is>
      </c>
      <c r="G437" t="inlineStr">
        <is>
          <t>Freelance</t>
        </is>
      </c>
      <c r="H437" s="2" t="n">
        <v>44217</v>
      </c>
      <c r="I437" s="2" t="n"/>
      <c r="J437" t="inlineStr">
        <is>
          <t>Activo</t>
        </is>
      </c>
      <c r="K437" s="3" t="n">
        <v>1</v>
      </c>
      <c r="L437" s="4" t="n">
        <v>48290</v>
      </c>
      <c r="M437" s="3" t="n">
        <v>0</v>
      </c>
      <c r="N437" s="3" t="n">
        <v>0.295</v>
      </c>
      <c r="O437" s="4">
        <f>ROUND(L437*K437*(1+M437+N437),2)</f>
        <v/>
      </c>
      <c r="P437" t="inlineStr">
        <is>
          <t>Fernando Ruiz</t>
        </is>
      </c>
      <c r="Q437" t="inlineStr">
        <is>
          <t>Colombia</t>
        </is>
      </c>
      <c r="R437" t="inlineStr">
        <is>
          <t>Medellín</t>
        </is>
      </c>
    </row>
    <row r="438">
      <c r="A438" t="inlineStr">
        <is>
          <t>EMP-0437</t>
        </is>
      </c>
      <c r="B438" t="inlineStr">
        <is>
          <t>David</t>
        </is>
      </c>
      <c r="C438" t="inlineStr">
        <is>
          <t>Álvarez</t>
        </is>
      </c>
      <c r="D438" t="inlineStr">
        <is>
          <t>Finanzas</t>
        </is>
      </c>
      <c r="E438" t="inlineStr">
        <is>
          <t>Analista financiero</t>
        </is>
      </c>
      <c r="F438" t="inlineStr">
        <is>
          <t>Mantenimiento intranets</t>
        </is>
      </c>
      <c r="G438" t="inlineStr">
        <is>
          <t>Indefinido</t>
        </is>
      </c>
      <c r="H438" s="2" t="n">
        <v>43837</v>
      </c>
      <c r="I438" s="2" t="n"/>
      <c r="J438" t="inlineStr">
        <is>
          <t>Activo</t>
        </is>
      </c>
      <c r="K438" s="3" t="n">
        <v>0.5</v>
      </c>
      <c r="L438" s="4" t="n">
        <v>44046</v>
      </c>
      <c r="M438" s="3" t="n">
        <v>0</v>
      </c>
      <c r="N438" s="3" t="n">
        <v>0.33</v>
      </c>
      <c r="O438" s="4">
        <f>ROUND(L438*K438*(1+M438+N438),2)</f>
        <v/>
      </c>
      <c r="P438" t="inlineStr">
        <is>
          <t>Fernando Ruiz</t>
        </is>
      </c>
      <c r="Q438" t="inlineStr">
        <is>
          <t>México</t>
        </is>
      </c>
      <c r="R438" t="inlineStr">
        <is>
          <t>Ciudad de México</t>
        </is>
      </c>
    </row>
    <row r="439">
      <c r="A439" t="inlineStr">
        <is>
          <t>EMP-0438</t>
        </is>
      </c>
      <c r="B439" t="inlineStr">
        <is>
          <t>Teresa</t>
        </is>
      </c>
      <c r="C439" t="inlineStr">
        <is>
          <t>Ruiz</t>
        </is>
      </c>
      <c r="D439" t="inlineStr">
        <is>
          <t>Redacción</t>
        </is>
      </c>
      <c r="E439" t="inlineStr">
        <is>
          <t>Content manager</t>
        </is>
      </c>
      <c r="F439" t="inlineStr">
        <is>
          <t>Anuncios TV</t>
        </is>
      </c>
      <c r="G439" t="inlineStr">
        <is>
          <t>Temporal</t>
        </is>
      </c>
      <c r="H439" s="2" t="n">
        <v>44132</v>
      </c>
      <c r="I439" s="2" t="n"/>
      <c r="J439" t="inlineStr">
        <is>
          <t>Activo</t>
        </is>
      </c>
      <c r="K439" s="3" t="n">
        <v>0.5</v>
      </c>
      <c r="L439" s="4" t="n">
        <v>42296</v>
      </c>
      <c r="M439" s="3" t="n">
        <v>0</v>
      </c>
      <c r="N439" s="3" t="n">
        <v>0.283</v>
      </c>
      <c r="O439" s="4">
        <f>ROUND(L439*K439*(1+M439+N439),2)</f>
        <v/>
      </c>
      <c r="P439" t="inlineStr">
        <is>
          <t>Jorge Molina</t>
        </is>
      </c>
      <c r="Q439" t="inlineStr">
        <is>
          <t>España</t>
        </is>
      </c>
      <c r="R439" t="inlineStr">
        <is>
          <t>Sevilla</t>
        </is>
      </c>
    </row>
    <row r="440">
      <c r="A440" t="inlineStr">
        <is>
          <t>EMP-0439</t>
        </is>
      </c>
      <c r="B440" t="inlineStr">
        <is>
          <t>Daniel</t>
        </is>
      </c>
      <c r="C440" t="inlineStr">
        <is>
          <t>Marín</t>
        </is>
      </c>
      <c r="D440" t="inlineStr">
        <is>
          <t>Tecnología</t>
        </is>
      </c>
      <c r="E440" t="inlineStr">
        <is>
          <t>QA web</t>
        </is>
      </c>
      <c r="F440" t="inlineStr">
        <is>
          <t>Traducciones</t>
        </is>
      </c>
      <c r="G440" t="inlineStr">
        <is>
          <t>Indefinido</t>
        </is>
      </c>
      <c r="H440" s="2" t="n">
        <v>44640</v>
      </c>
      <c r="I440" s="2" t="n"/>
      <c r="J440" t="inlineStr">
        <is>
          <t>Activo</t>
        </is>
      </c>
      <c r="K440" s="3" t="n">
        <v>1</v>
      </c>
      <c r="L440" s="4" t="n">
        <v>60242</v>
      </c>
      <c r="M440" s="3" t="n">
        <v>0</v>
      </c>
      <c r="N440" s="3" t="n">
        <v>0.334</v>
      </c>
      <c r="O440" s="4">
        <f>ROUND(L440*K440*(1+M440+N440),2)</f>
        <v/>
      </c>
      <c r="P440" t="inlineStr">
        <is>
          <t>Luis Gómez</t>
        </is>
      </c>
      <c r="Q440" t="inlineStr">
        <is>
          <t>México</t>
        </is>
      </c>
      <c r="R440" t="inlineStr">
        <is>
          <t>Ciudad de México</t>
        </is>
      </c>
    </row>
    <row r="441">
      <c r="A441" t="inlineStr">
        <is>
          <t>EMP-0440</t>
        </is>
      </c>
      <c r="B441" t="inlineStr">
        <is>
          <t>Óscar</t>
        </is>
      </c>
      <c r="C441" t="inlineStr">
        <is>
          <t>Iglesias</t>
        </is>
      </c>
      <c r="D441" t="inlineStr">
        <is>
          <t>Comercial</t>
        </is>
      </c>
      <c r="E441" t="inlineStr">
        <is>
          <t>Ejecutivo de cuentas</t>
        </is>
      </c>
      <c r="F441" t="inlineStr">
        <is>
          <t>Generación de noticias</t>
        </is>
      </c>
      <c r="G441" t="inlineStr">
        <is>
          <t>Freelance</t>
        </is>
      </c>
      <c r="H441" s="2" t="n">
        <v>44849</v>
      </c>
      <c r="I441" s="2" t="n"/>
      <c r="J441" t="inlineStr">
        <is>
          <t>Activo</t>
        </is>
      </c>
      <c r="K441" s="3" t="n">
        <v>1</v>
      </c>
      <c r="L441" s="4" t="n">
        <v>35758</v>
      </c>
      <c r="M441" s="3" t="n">
        <v>0.12</v>
      </c>
      <c r="N441" s="3" t="n">
        <v>0.284</v>
      </c>
      <c r="O441" s="4">
        <f>ROUND(L441*K441*(1+M441+N441),2)</f>
        <v/>
      </c>
      <c r="P441" t="inlineStr">
        <is>
          <t>Fernando Ruiz</t>
        </is>
      </c>
      <c r="Q441" t="inlineStr">
        <is>
          <t>España</t>
        </is>
      </c>
      <c r="R441" t="inlineStr">
        <is>
          <t>Madrid</t>
        </is>
      </c>
    </row>
    <row r="442">
      <c r="A442" t="inlineStr">
        <is>
          <t>EMP-0441</t>
        </is>
      </c>
      <c r="B442" t="inlineStr">
        <is>
          <t>Natalia</t>
        </is>
      </c>
      <c r="C442" t="inlineStr">
        <is>
          <t>Gómez</t>
        </is>
      </c>
      <c r="D442" t="inlineStr">
        <is>
          <t>RRHH</t>
        </is>
      </c>
      <c r="E442" t="inlineStr">
        <is>
          <t>Recruitment marketer</t>
        </is>
      </c>
      <c r="F442" t="inlineStr">
        <is>
          <t>Anuncios RRHH</t>
        </is>
      </c>
      <c r="G442" t="inlineStr">
        <is>
          <t>Indefinido</t>
        </is>
      </c>
      <c r="H442" s="2" t="n">
        <v>45115</v>
      </c>
      <c r="I442" s="2" t="n"/>
      <c r="J442" t="inlineStr">
        <is>
          <t>Activo</t>
        </is>
      </c>
      <c r="K442" s="3" t="n">
        <v>0.75</v>
      </c>
      <c r="L442" s="4" t="n">
        <v>41998</v>
      </c>
      <c r="M442" s="3" t="n">
        <v>0.05</v>
      </c>
      <c r="N442" s="3" t="n">
        <v>0.291</v>
      </c>
      <c r="O442" s="4">
        <f>ROUND(L442*K442*(1+M442+N442),2)</f>
        <v/>
      </c>
      <c r="P442" t="inlineStr">
        <is>
          <t>Ana Torres</t>
        </is>
      </c>
      <c r="Q442" t="inlineStr">
        <is>
          <t>Chile</t>
        </is>
      </c>
      <c r="R442" t="inlineStr">
        <is>
          <t>Santiago</t>
        </is>
      </c>
    </row>
    <row r="443">
      <c r="A443" t="inlineStr">
        <is>
          <t>EMP-0442</t>
        </is>
      </c>
      <c r="B443" t="inlineStr">
        <is>
          <t>Álex</t>
        </is>
      </c>
      <c r="C443" t="inlineStr">
        <is>
          <t>Ortega</t>
        </is>
      </c>
      <c r="D443" t="inlineStr">
        <is>
          <t>Traducción</t>
        </is>
      </c>
      <c r="E443" t="inlineStr">
        <is>
          <t>Localization manager</t>
        </is>
      </c>
      <c r="F443" t="inlineStr">
        <is>
          <t>Anuncios TV</t>
        </is>
      </c>
      <c r="G443" t="inlineStr">
        <is>
          <t>Indefinido</t>
        </is>
      </c>
      <c r="H443" s="2" t="n">
        <v>44909</v>
      </c>
      <c r="I443" s="2" t="n"/>
      <c r="J443" t="inlineStr">
        <is>
          <t>Activo</t>
        </is>
      </c>
      <c r="K443" s="3" t="n">
        <v>0.5</v>
      </c>
      <c r="L443" s="4" t="n">
        <v>23142</v>
      </c>
      <c r="M443" s="3" t="n">
        <v>0</v>
      </c>
      <c r="N443" s="3" t="n">
        <v>0.284</v>
      </c>
      <c r="O443" s="4">
        <f>ROUND(L443*K443*(1+M443+N443),2)</f>
        <v/>
      </c>
      <c r="P443" t="inlineStr">
        <is>
          <t>Patricia Romero</t>
        </is>
      </c>
      <c r="Q443" t="inlineStr">
        <is>
          <t>México</t>
        </is>
      </c>
      <c r="R443" t="inlineStr">
        <is>
          <t>Ciudad de México</t>
        </is>
      </c>
    </row>
    <row r="444">
      <c r="A444" t="inlineStr">
        <is>
          <t>EMP-0443</t>
        </is>
      </c>
      <c r="B444" t="inlineStr">
        <is>
          <t>Lucía</t>
        </is>
      </c>
      <c r="C444" t="inlineStr">
        <is>
          <t>Iglesias</t>
        </is>
      </c>
      <c r="D444" t="inlineStr">
        <is>
          <t>Finanzas</t>
        </is>
      </c>
      <c r="E444" t="inlineStr">
        <is>
          <t>Técnico de facturación</t>
        </is>
      </c>
      <c r="F444" t="inlineStr">
        <is>
          <t>Mantenimiento web</t>
        </is>
      </c>
      <c r="G444" t="inlineStr">
        <is>
          <t>Indefinido</t>
        </is>
      </c>
      <c r="H444" s="2" t="n">
        <v>44700</v>
      </c>
      <c r="I444" s="2" t="n"/>
      <c r="J444" t="inlineStr">
        <is>
          <t>Activo</t>
        </is>
      </c>
      <c r="K444" s="3" t="n">
        <v>1</v>
      </c>
      <c r="L444" s="4" t="n">
        <v>51642</v>
      </c>
      <c r="M444" s="3" t="n">
        <v>0.05</v>
      </c>
      <c r="N444" s="3" t="n">
        <v>0.314</v>
      </c>
      <c r="O444" s="4">
        <f>ROUND(L444*K444*(1+M444+N444),2)</f>
        <v/>
      </c>
      <c r="P444" t="inlineStr">
        <is>
          <t>Jorge Molina</t>
        </is>
      </c>
      <c r="Q444" t="inlineStr">
        <is>
          <t>Colombia</t>
        </is>
      </c>
      <c r="R444" t="inlineStr">
        <is>
          <t>Bogotá</t>
        </is>
      </c>
    </row>
    <row r="445">
      <c r="A445" t="inlineStr">
        <is>
          <t>EMP-0444</t>
        </is>
      </c>
      <c r="B445" t="inlineStr">
        <is>
          <t>Eva</t>
        </is>
      </c>
      <c r="C445" t="inlineStr">
        <is>
          <t>Ruiz</t>
        </is>
      </c>
      <c r="D445" t="inlineStr">
        <is>
          <t>Finanzas</t>
        </is>
      </c>
      <c r="E445" t="inlineStr">
        <is>
          <t>Controller</t>
        </is>
      </c>
      <c r="F445" t="inlineStr">
        <is>
          <t>Anuncios internet</t>
        </is>
      </c>
      <c r="G445" t="inlineStr">
        <is>
          <t>Indefinido</t>
        </is>
      </c>
      <c r="H445" s="2" t="n">
        <v>45075</v>
      </c>
      <c r="I445" s="2" t="n"/>
      <c r="J445" t="inlineStr">
        <is>
          <t>Activo</t>
        </is>
      </c>
      <c r="K445" s="3" t="n">
        <v>1</v>
      </c>
      <c r="L445" s="4" t="n">
        <v>33761</v>
      </c>
      <c r="M445" s="3" t="n">
        <v>0.03</v>
      </c>
      <c r="N445" s="3" t="n">
        <v>0.321</v>
      </c>
      <c r="O445" s="4">
        <f>ROUND(L445*K445*(1+M445+N445),2)</f>
        <v/>
      </c>
      <c r="P445" t="inlineStr">
        <is>
          <t>Ana Torres</t>
        </is>
      </c>
      <c r="Q445" t="inlineStr">
        <is>
          <t>España</t>
        </is>
      </c>
      <c r="R445" t="inlineStr">
        <is>
          <t>Madrid</t>
        </is>
      </c>
    </row>
    <row r="446">
      <c r="A446" t="inlineStr">
        <is>
          <t>EMP-0445</t>
        </is>
      </c>
      <c r="B446" t="inlineStr">
        <is>
          <t>Daniel</t>
        </is>
      </c>
      <c r="C446" t="inlineStr">
        <is>
          <t>Morales</t>
        </is>
      </c>
      <c r="D446" t="inlineStr">
        <is>
          <t>Redacción</t>
        </is>
      </c>
      <c r="E446" t="inlineStr">
        <is>
          <t>Content manager</t>
        </is>
      </c>
      <c r="F446" t="inlineStr">
        <is>
          <t>Anuncios RRHH</t>
        </is>
      </c>
      <c r="G446" t="inlineStr">
        <is>
          <t>Indefinido</t>
        </is>
      </c>
      <c r="H446" s="2" t="n">
        <v>44288</v>
      </c>
      <c r="I446" s="2" t="n"/>
      <c r="J446" t="inlineStr">
        <is>
          <t>Activo</t>
        </is>
      </c>
      <c r="K446" s="3" t="n">
        <v>0.75</v>
      </c>
      <c r="L446" s="4" t="n">
        <v>40169</v>
      </c>
      <c r="M446" s="3" t="n">
        <v>0</v>
      </c>
      <c r="N446" s="3" t="n">
        <v>0.338</v>
      </c>
      <c r="O446" s="4">
        <f>ROUND(L446*K446*(1+M446+N446),2)</f>
        <v/>
      </c>
      <c r="P446" t="inlineStr">
        <is>
          <t>Luis Gómez</t>
        </is>
      </c>
      <c r="Q446" t="inlineStr">
        <is>
          <t>España</t>
        </is>
      </c>
      <c r="R446" t="inlineStr">
        <is>
          <t>Valencia</t>
        </is>
      </c>
    </row>
    <row r="447">
      <c r="A447" t="inlineStr">
        <is>
          <t>EMP-0446</t>
        </is>
      </c>
      <c r="B447" t="inlineStr">
        <is>
          <t>Iván</t>
        </is>
      </c>
      <c r="C447" t="inlineStr">
        <is>
          <t>López</t>
        </is>
      </c>
      <c r="D447" t="inlineStr">
        <is>
          <t>Comercial</t>
        </is>
      </c>
      <c r="E447" t="inlineStr">
        <is>
          <t>Business developer</t>
        </is>
      </c>
      <c r="F447" t="inlineStr">
        <is>
          <t>Anuncios prensa</t>
        </is>
      </c>
      <c r="G447" t="inlineStr">
        <is>
          <t>Temporal</t>
        </is>
      </c>
      <c r="H447" s="2" t="n">
        <v>44894</v>
      </c>
      <c r="I447" s="2" t="n"/>
      <c r="J447" t="inlineStr">
        <is>
          <t>Activo</t>
        </is>
      </c>
      <c r="K447" s="3" t="n">
        <v>0.75</v>
      </c>
      <c r="L447" s="4" t="n">
        <v>28750</v>
      </c>
      <c r="M447" s="3" t="n">
        <v>0</v>
      </c>
      <c r="N447" s="3" t="n">
        <v>0.323</v>
      </c>
      <c r="O447" s="4">
        <f>ROUND(L447*K447*(1+M447+N447),2)</f>
        <v/>
      </c>
      <c r="P447" t="inlineStr">
        <is>
          <t>Luis Gómez</t>
        </is>
      </c>
      <c r="Q447" t="inlineStr">
        <is>
          <t>Colombia</t>
        </is>
      </c>
      <c r="R447" t="inlineStr">
        <is>
          <t>Medellín</t>
        </is>
      </c>
    </row>
    <row r="448">
      <c r="A448" t="inlineStr">
        <is>
          <t>EMP-0447</t>
        </is>
      </c>
      <c r="B448" t="inlineStr">
        <is>
          <t>Iván</t>
        </is>
      </c>
      <c r="C448" t="inlineStr">
        <is>
          <t>Ramos</t>
        </is>
      </c>
      <c r="D448" t="inlineStr">
        <is>
          <t>Finanzas</t>
        </is>
      </c>
      <c r="E448" t="inlineStr">
        <is>
          <t>Técnico de facturación</t>
        </is>
      </c>
      <c r="F448" t="inlineStr">
        <is>
          <t>Anuncios prensa</t>
        </is>
      </c>
      <c r="G448" t="inlineStr">
        <is>
          <t>Freelance</t>
        </is>
      </c>
      <c r="H448" s="2" t="n">
        <v>44941</v>
      </c>
      <c r="I448" s="2" t="n"/>
      <c r="J448" t="inlineStr">
        <is>
          <t>Activo</t>
        </is>
      </c>
      <c r="K448" s="3" t="n">
        <v>0.5</v>
      </c>
      <c r="L448" s="4" t="n">
        <v>23213</v>
      </c>
      <c r="M448" s="3" t="n">
        <v>0.03</v>
      </c>
      <c r="N448" s="3" t="n">
        <v>0.283</v>
      </c>
      <c r="O448" s="4">
        <f>ROUND(L448*K448*(1+M448+N448),2)</f>
        <v/>
      </c>
      <c r="P448" t="inlineStr">
        <is>
          <t>Ana Torres</t>
        </is>
      </c>
      <c r="Q448" t="inlineStr">
        <is>
          <t>España</t>
        </is>
      </c>
      <c r="R448" t="inlineStr">
        <is>
          <t>Valencia</t>
        </is>
      </c>
    </row>
    <row r="449">
      <c r="A449" t="inlineStr">
        <is>
          <t>EMP-0448</t>
        </is>
      </c>
      <c r="B449" t="inlineStr">
        <is>
          <t>Eva</t>
        </is>
      </c>
      <c r="C449" t="inlineStr">
        <is>
          <t>Pérez</t>
        </is>
      </c>
      <c r="D449" t="inlineStr">
        <is>
          <t>RRHH</t>
        </is>
      </c>
      <c r="E449" t="inlineStr">
        <is>
          <t>Especialista RRHH</t>
        </is>
      </c>
      <c r="F449" t="inlineStr">
        <is>
          <t>Traducciones</t>
        </is>
      </c>
      <c r="G449" t="inlineStr">
        <is>
          <t>Temporal</t>
        </is>
      </c>
      <c r="H449" s="2" t="n">
        <v>44055</v>
      </c>
      <c r="I449" s="2" t="n"/>
      <c r="J449" t="inlineStr">
        <is>
          <t>Activo</t>
        </is>
      </c>
      <c r="K449" s="3" t="n">
        <v>0.5</v>
      </c>
      <c r="L449" s="4" t="n">
        <v>46099</v>
      </c>
      <c r="M449" s="3" t="n">
        <v>0</v>
      </c>
      <c r="N449" s="3" t="n">
        <v>0.309</v>
      </c>
      <c r="O449" s="4">
        <f>ROUND(L449*K449*(1+M449+N449),2)</f>
        <v/>
      </c>
      <c r="P449" t="inlineStr">
        <is>
          <t>Fernando Ruiz</t>
        </is>
      </c>
      <c r="Q449" t="inlineStr">
        <is>
          <t>España</t>
        </is>
      </c>
      <c r="R449" t="inlineStr">
        <is>
          <t>Sevilla</t>
        </is>
      </c>
    </row>
    <row r="450">
      <c r="A450" t="inlineStr">
        <is>
          <t>EMP-0449</t>
        </is>
      </c>
      <c r="B450" t="inlineStr">
        <is>
          <t>Lucía</t>
        </is>
      </c>
      <c r="C450" t="inlineStr">
        <is>
          <t>Gómez</t>
        </is>
      </c>
      <c r="D450" t="inlineStr">
        <is>
          <t>Operaciones</t>
        </is>
      </c>
      <c r="E450" t="inlineStr">
        <is>
          <t>Project manager</t>
        </is>
      </c>
      <c r="F450" t="inlineStr">
        <is>
          <t>Mantenimiento intranets</t>
        </is>
      </c>
      <c r="G450" t="inlineStr">
        <is>
          <t>Indefinido</t>
        </is>
      </c>
      <c r="H450" s="2" t="n">
        <v>44359</v>
      </c>
      <c r="I450" s="2" t="n"/>
      <c r="J450" t="inlineStr">
        <is>
          <t>Activo</t>
        </is>
      </c>
      <c r="K450" s="3" t="n">
        <v>0.5</v>
      </c>
      <c r="L450" s="4" t="n">
        <v>36948</v>
      </c>
      <c r="M450" s="3" t="n">
        <v>0.08</v>
      </c>
      <c r="N450" s="3" t="n">
        <v>0.29</v>
      </c>
      <c r="O450" s="4">
        <f>ROUND(L450*K450*(1+M450+N450),2)</f>
        <v/>
      </c>
      <c r="P450" t="inlineStr">
        <is>
          <t>Ana Torres</t>
        </is>
      </c>
      <c r="Q450" t="inlineStr">
        <is>
          <t>México</t>
        </is>
      </c>
      <c r="R450" t="inlineStr">
        <is>
          <t>Ciudad de México</t>
        </is>
      </c>
    </row>
    <row r="451">
      <c r="A451" t="inlineStr">
        <is>
          <t>EMP-0450</t>
        </is>
      </c>
      <c r="B451" t="inlineStr">
        <is>
          <t>Sofía</t>
        </is>
      </c>
      <c r="C451" t="inlineStr">
        <is>
          <t>Blanco</t>
        </is>
      </c>
      <c r="D451" t="inlineStr">
        <is>
          <t>Redacción</t>
        </is>
      </c>
      <c r="E451" t="inlineStr">
        <is>
          <t>Content manager</t>
        </is>
      </c>
      <c r="F451" t="inlineStr">
        <is>
          <t>Traducciones</t>
        </is>
      </c>
      <c r="G451" t="inlineStr">
        <is>
          <t>Indefinido</t>
        </is>
      </c>
      <c r="H451" s="2" t="n">
        <v>44482</v>
      </c>
      <c r="I451" s="2" t="n"/>
      <c r="J451" t="inlineStr">
        <is>
          <t>Activo</t>
        </is>
      </c>
      <c r="K451" s="3" t="n">
        <v>1</v>
      </c>
      <c r="L451" s="4" t="n">
        <v>32624</v>
      </c>
      <c r="M451" s="3" t="n">
        <v>0</v>
      </c>
      <c r="N451" s="3" t="n">
        <v>0.339</v>
      </c>
      <c r="O451" s="4">
        <f>ROUND(L451*K451*(1+M451+N451),2)</f>
        <v/>
      </c>
      <c r="P451" t="inlineStr">
        <is>
          <t>Silvia Navarro</t>
        </is>
      </c>
      <c r="Q451" t="inlineStr">
        <is>
          <t>España</t>
        </is>
      </c>
      <c r="R451" t="inlineStr">
        <is>
          <t>Barcelona</t>
        </is>
      </c>
    </row>
    <row r="452">
      <c r="A452" t="inlineStr">
        <is>
          <t>EMP-0451</t>
        </is>
      </c>
      <c r="B452" t="inlineStr">
        <is>
          <t>Marta</t>
        </is>
      </c>
      <c r="C452" t="inlineStr">
        <is>
          <t>Gil</t>
        </is>
      </c>
      <c r="D452" t="inlineStr">
        <is>
          <t>Traducción</t>
        </is>
      </c>
      <c r="E452" t="inlineStr">
        <is>
          <t>Revisor lingüístico</t>
        </is>
      </c>
      <c r="F452" t="inlineStr">
        <is>
          <t>Anuncios RRHH</t>
        </is>
      </c>
      <c r="G452" t="inlineStr">
        <is>
          <t>Indefinido</t>
        </is>
      </c>
      <c r="H452" s="2" t="n">
        <v>43359</v>
      </c>
      <c r="I452" s="2" t="n"/>
      <c r="J452" t="inlineStr">
        <is>
          <t>Activo</t>
        </is>
      </c>
      <c r="K452" s="3" t="n">
        <v>0.75</v>
      </c>
      <c r="L452" s="4" t="n">
        <v>46823</v>
      </c>
      <c r="M452" s="3" t="n">
        <v>0.05</v>
      </c>
      <c r="N452" s="3" t="n">
        <v>0.29</v>
      </c>
      <c r="O452" s="4">
        <f>ROUND(L452*K452*(1+M452+N452),2)</f>
        <v/>
      </c>
      <c r="P452" t="inlineStr">
        <is>
          <t>Silvia Navarro</t>
        </is>
      </c>
      <c r="Q452" t="inlineStr">
        <is>
          <t>Colombia</t>
        </is>
      </c>
      <c r="R452" t="inlineStr">
        <is>
          <t>Bogotá</t>
        </is>
      </c>
    </row>
    <row r="453">
      <c r="A453" t="inlineStr">
        <is>
          <t>EMP-0452</t>
        </is>
      </c>
      <c r="B453" t="inlineStr">
        <is>
          <t>Carmen</t>
        </is>
      </c>
      <c r="C453" t="inlineStr">
        <is>
          <t>Sánchez</t>
        </is>
      </c>
      <c r="D453" t="inlineStr">
        <is>
          <t>Traducción</t>
        </is>
      </c>
      <c r="E453" t="inlineStr">
        <is>
          <t>Traductor</t>
        </is>
      </c>
      <c r="F453" t="inlineStr">
        <is>
          <t>Anuncios internet</t>
        </is>
      </c>
      <c r="G453" t="inlineStr">
        <is>
          <t>Temporal</t>
        </is>
      </c>
      <c r="H453" s="2" t="n">
        <v>45609</v>
      </c>
      <c r="I453" s="2" t="n"/>
      <c r="J453" t="inlineStr">
        <is>
          <t>Activo</t>
        </is>
      </c>
      <c r="K453" s="3" t="n">
        <v>0.75</v>
      </c>
      <c r="L453" s="4" t="n">
        <v>22512</v>
      </c>
      <c r="M453" s="3" t="n">
        <v>0.05</v>
      </c>
      <c r="N453" s="3" t="n">
        <v>0.285</v>
      </c>
      <c r="O453" s="4">
        <f>ROUND(L453*K453*(1+M453+N453),2)</f>
        <v/>
      </c>
      <c r="P453" t="inlineStr">
        <is>
          <t>Luis Gómez</t>
        </is>
      </c>
      <c r="Q453" t="inlineStr">
        <is>
          <t>España</t>
        </is>
      </c>
      <c r="R453" t="inlineStr">
        <is>
          <t>Madrid</t>
        </is>
      </c>
    </row>
    <row r="454">
      <c r="A454" t="inlineStr">
        <is>
          <t>EMP-0453</t>
        </is>
      </c>
      <c r="B454" t="inlineStr">
        <is>
          <t>Carmen</t>
        </is>
      </c>
      <c r="C454" t="inlineStr">
        <is>
          <t>Fernández</t>
        </is>
      </c>
      <c r="D454" t="inlineStr">
        <is>
          <t>Redacción</t>
        </is>
      </c>
      <c r="E454" t="inlineStr">
        <is>
          <t>Redactor</t>
        </is>
      </c>
      <c r="F454" t="inlineStr">
        <is>
          <t>Generación de noticias</t>
        </is>
      </c>
      <c r="G454" t="inlineStr">
        <is>
          <t>Indefinido</t>
        </is>
      </c>
      <c r="H454" s="2" t="n">
        <v>44210</v>
      </c>
      <c r="I454" s="2" t="n"/>
      <c r="J454" t="inlineStr">
        <is>
          <t>Activo</t>
        </is>
      </c>
      <c r="K454" s="3" t="n">
        <v>1</v>
      </c>
      <c r="L454" s="4" t="n">
        <v>29839</v>
      </c>
      <c r="M454" s="3" t="n">
        <v>0</v>
      </c>
      <c r="N454" s="3" t="n">
        <v>0.317</v>
      </c>
      <c r="O454" s="4">
        <f>ROUND(L454*K454*(1+M454+N454),2)</f>
        <v/>
      </c>
      <c r="P454" t="inlineStr">
        <is>
          <t>Silvia Navarro</t>
        </is>
      </c>
      <c r="Q454" t="inlineStr">
        <is>
          <t>España</t>
        </is>
      </c>
      <c r="R454" t="inlineStr">
        <is>
          <t>Sevilla</t>
        </is>
      </c>
    </row>
    <row r="455">
      <c r="A455" t="inlineStr">
        <is>
          <t>EMP-0454</t>
        </is>
      </c>
      <c r="B455" t="inlineStr">
        <is>
          <t>Hugo</t>
        </is>
      </c>
      <c r="C455" t="inlineStr">
        <is>
          <t>Romero</t>
        </is>
      </c>
      <c r="D455" t="inlineStr">
        <is>
          <t>Traducción</t>
        </is>
      </c>
      <c r="E455" t="inlineStr">
        <is>
          <t>Localization manager</t>
        </is>
      </c>
      <c r="F455" t="inlineStr">
        <is>
          <t>Anuncios internet</t>
        </is>
      </c>
      <c r="G455" t="inlineStr">
        <is>
          <t>Indefinido</t>
        </is>
      </c>
      <c r="H455" s="2" t="n">
        <v>45385</v>
      </c>
      <c r="I455" s="2" t="n"/>
      <c r="J455" t="inlineStr">
        <is>
          <t>Activo</t>
        </is>
      </c>
      <c r="K455" s="3" t="n">
        <v>0.5</v>
      </c>
      <c r="L455" s="4" t="n">
        <v>39373</v>
      </c>
      <c r="M455" s="3" t="n">
        <v>0</v>
      </c>
      <c r="N455" s="3" t="n">
        <v>0.317</v>
      </c>
      <c r="O455" s="4">
        <f>ROUND(L455*K455*(1+M455+N455),2)</f>
        <v/>
      </c>
      <c r="P455" t="inlineStr">
        <is>
          <t>Silvia Navarro</t>
        </is>
      </c>
      <c r="Q455" t="inlineStr">
        <is>
          <t>Portugal</t>
        </is>
      </c>
      <c r="R455" t="inlineStr">
        <is>
          <t>Lisboa</t>
        </is>
      </c>
    </row>
    <row r="456">
      <c r="A456" t="inlineStr">
        <is>
          <t>EMP-0455</t>
        </is>
      </c>
      <c r="B456" t="inlineStr">
        <is>
          <t>Rubén</t>
        </is>
      </c>
      <c r="C456" t="inlineStr">
        <is>
          <t>Martínez</t>
        </is>
      </c>
      <c r="D456" t="inlineStr">
        <is>
          <t>Tecnología</t>
        </is>
      </c>
      <c r="E456" t="inlineStr">
        <is>
          <t>Desarrollador web</t>
        </is>
      </c>
      <c r="F456" t="inlineStr">
        <is>
          <t>Anuncios internet</t>
        </is>
      </c>
      <c r="G456" t="inlineStr">
        <is>
          <t>Indefinido</t>
        </is>
      </c>
      <c r="H456" s="2" t="n">
        <v>43712</v>
      </c>
      <c r="I456" s="2" t="n"/>
      <c r="J456" t="inlineStr">
        <is>
          <t>Activo</t>
        </is>
      </c>
      <c r="K456" s="3" t="n">
        <v>1</v>
      </c>
      <c r="L456" s="4" t="n">
        <v>43746</v>
      </c>
      <c r="M456" s="3" t="n">
        <v>0</v>
      </c>
      <c r="N456" s="3" t="n">
        <v>0.32</v>
      </c>
      <c r="O456" s="4">
        <f>ROUND(L456*K456*(1+M456+N456),2)</f>
        <v/>
      </c>
      <c r="P456" t="inlineStr">
        <is>
          <t>Ana Torres</t>
        </is>
      </c>
      <c r="Q456" t="inlineStr">
        <is>
          <t>México</t>
        </is>
      </c>
      <c r="R456" t="inlineStr">
        <is>
          <t>Ciudad de México</t>
        </is>
      </c>
    </row>
    <row r="457">
      <c r="A457" t="inlineStr">
        <is>
          <t>EMP-0456</t>
        </is>
      </c>
      <c r="B457" t="inlineStr">
        <is>
          <t>Marcos</t>
        </is>
      </c>
      <c r="C457" t="inlineStr">
        <is>
          <t>Serrano</t>
        </is>
      </c>
      <c r="D457" t="inlineStr">
        <is>
          <t>Marketing</t>
        </is>
      </c>
      <c r="E457" t="inlineStr">
        <is>
          <t>Campaign manager</t>
        </is>
      </c>
      <c r="F457" t="inlineStr">
        <is>
          <t>Generación de noticias</t>
        </is>
      </c>
      <c r="G457" t="inlineStr">
        <is>
          <t>Temporal</t>
        </is>
      </c>
      <c r="H457" s="2" t="n">
        <v>44957</v>
      </c>
      <c r="I457" s="2" t="n">
        <v>45244</v>
      </c>
      <c r="J457" t="inlineStr">
        <is>
          <t>Baja</t>
        </is>
      </c>
      <c r="K457" s="3" t="n">
        <v>1</v>
      </c>
      <c r="L457" s="4" t="n">
        <v>33057</v>
      </c>
      <c r="M457" s="3" t="n">
        <v>0.12</v>
      </c>
      <c r="N457" s="3" t="n">
        <v>0.282</v>
      </c>
      <c r="O457" s="4">
        <f>ROUND(L457*K457*(1+M457+N457),2)</f>
        <v/>
      </c>
      <c r="P457" t="inlineStr">
        <is>
          <t>Ana Torres</t>
        </is>
      </c>
      <c r="Q457" t="inlineStr">
        <is>
          <t>España</t>
        </is>
      </c>
      <c r="R457" t="inlineStr">
        <is>
          <t>Valencia</t>
        </is>
      </c>
    </row>
    <row r="458">
      <c r="A458" t="inlineStr">
        <is>
          <t>EMP-0457</t>
        </is>
      </c>
      <c r="B458" t="inlineStr">
        <is>
          <t>Nuria</t>
        </is>
      </c>
      <c r="C458" t="inlineStr">
        <is>
          <t>Fernández</t>
        </is>
      </c>
      <c r="D458" t="inlineStr">
        <is>
          <t>Redacción</t>
        </is>
      </c>
      <c r="E458" t="inlineStr">
        <is>
          <t>Content manager</t>
        </is>
      </c>
      <c r="F458" t="inlineStr">
        <is>
          <t>Mantenimiento intranets</t>
        </is>
      </c>
      <c r="G458" t="inlineStr">
        <is>
          <t>Temporal</t>
        </is>
      </c>
      <c r="H458" s="2" t="n">
        <v>44435</v>
      </c>
      <c r="I458" s="2" t="n"/>
      <c r="J458" t="inlineStr">
        <is>
          <t>Activo</t>
        </is>
      </c>
      <c r="K458" s="3" t="n">
        <v>0.5</v>
      </c>
      <c r="L458" s="4" t="n">
        <v>32686</v>
      </c>
      <c r="M458" s="3" t="n">
        <v>0</v>
      </c>
      <c r="N458" s="3" t="n">
        <v>0.286</v>
      </c>
      <c r="O458" s="4">
        <f>ROUND(L458*K458*(1+M458+N458),2)</f>
        <v/>
      </c>
      <c r="P458" t="inlineStr">
        <is>
          <t>Fernando Ruiz</t>
        </is>
      </c>
      <c r="Q458" t="inlineStr">
        <is>
          <t>México</t>
        </is>
      </c>
      <c r="R458" t="inlineStr">
        <is>
          <t>Guadalajara</t>
        </is>
      </c>
    </row>
    <row r="459">
      <c r="A459" t="inlineStr">
        <is>
          <t>EMP-0458</t>
        </is>
      </c>
      <c r="B459" t="inlineStr">
        <is>
          <t>Beatriz</t>
        </is>
      </c>
      <c r="C459" t="inlineStr">
        <is>
          <t>Gil</t>
        </is>
      </c>
      <c r="D459" t="inlineStr">
        <is>
          <t>Tecnología</t>
        </is>
      </c>
      <c r="E459" t="inlineStr">
        <is>
          <t>Administrador intranet</t>
        </is>
      </c>
      <c r="F459" t="inlineStr">
        <is>
          <t>Anuncios prensa</t>
        </is>
      </c>
      <c r="G459" t="inlineStr">
        <is>
          <t>Indefinido</t>
        </is>
      </c>
      <c r="H459" s="2" t="n">
        <v>44886</v>
      </c>
      <c r="I459" s="2" t="n"/>
      <c r="J459" t="inlineStr">
        <is>
          <t>Activo</t>
        </is>
      </c>
      <c r="K459" s="3" t="n">
        <v>1</v>
      </c>
      <c r="L459" s="4" t="n">
        <v>42367</v>
      </c>
      <c r="M459" s="3" t="n">
        <v>0.05</v>
      </c>
      <c r="N459" s="3" t="n">
        <v>0.302</v>
      </c>
      <c r="O459" s="4">
        <f>ROUND(L459*K459*(1+M459+N459),2)</f>
        <v/>
      </c>
      <c r="P459" t="inlineStr">
        <is>
          <t>Jorge Molina</t>
        </is>
      </c>
      <c r="Q459" t="inlineStr">
        <is>
          <t>Colombia</t>
        </is>
      </c>
      <c r="R459" t="inlineStr">
        <is>
          <t>Bogotá</t>
        </is>
      </c>
    </row>
    <row r="460">
      <c r="A460" t="inlineStr">
        <is>
          <t>EMP-0459</t>
        </is>
      </c>
      <c r="B460" t="inlineStr">
        <is>
          <t>Marcos</t>
        </is>
      </c>
      <c r="C460" t="inlineStr">
        <is>
          <t>Pérez</t>
        </is>
      </c>
      <c r="D460" t="inlineStr">
        <is>
          <t>Tecnología</t>
        </is>
      </c>
      <c r="E460" t="inlineStr">
        <is>
          <t>Administrador intranet</t>
        </is>
      </c>
      <c r="F460" t="inlineStr">
        <is>
          <t>Anuncios RRHH</t>
        </is>
      </c>
      <c r="G460" t="inlineStr">
        <is>
          <t>Indefinido</t>
        </is>
      </c>
      <c r="H460" s="2" t="n">
        <v>45430</v>
      </c>
      <c r="I460" s="2" t="n">
        <v>45889</v>
      </c>
      <c r="J460" t="inlineStr">
        <is>
          <t>Baja</t>
        </is>
      </c>
      <c r="K460" s="3" t="n">
        <v>0.5</v>
      </c>
      <c r="L460" s="4" t="n">
        <v>57719</v>
      </c>
      <c r="M460" s="3" t="n">
        <v>0.05</v>
      </c>
      <c r="N460" s="3" t="n">
        <v>0.305</v>
      </c>
      <c r="O460" s="4">
        <f>ROUND(L460*K460*(1+M460+N460),2)</f>
        <v/>
      </c>
      <c r="P460" t="inlineStr">
        <is>
          <t>Luis Gómez</t>
        </is>
      </c>
      <c r="Q460" t="inlineStr">
        <is>
          <t>Chile</t>
        </is>
      </c>
      <c r="R460" t="inlineStr">
        <is>
          <t>Santiago</t>
        </is>
      </c>
    </row>
    <row r="461">
      <c r="A461" t="inlineStr">
        <is>
          <t>EMP-0460</t>
        </is>
      </c>
      <c r="B461" t="inlineStr">
        <is>
          <t>Marina</t>
        </is>
      </c>
      <c r="C461" t="inlineStr">
        <is>
          <t>Ramos</t>
        </is>
      </c>
      <c r="D461" t="inlineStr">
        <is>
          <t>Comercial</t>
        </is>
      </c>
      <c r="E461" t="inlineStr">
        <is>
          <t>Sales manager</t>
        </is>
      </c>
      <c r="F461" t="inlineStr">
        <is>
          <t>Publicación de noticias</t>
        </is>
      </c>
      <c r="G461" t="inlineStr">
        <is>
          <t>Temporal</t>
        </is>
      </c>
      <c r="H461" s="2" t="n">
        <v>43455</v>
      </c>
      <c r="I461" s="2" t="n"/>
      <c r="J461" t="inlineStr">
        <is>
          <t>Activo</t>
        </is>
      </c>
      <c r="K461" s="3" t="n">
        <v>1</v>
      </c>
      <c r="L461" s="4" t="n">
        <v>49093</v>
      </c>
      <c r="M461" s="3" t="n">
        <v>0</v>
      </c>
      <c r="N461" s="3" t="n">
        <v>0.315</v>
      </c>
      <c r="O461" s="4">
        <f>ROUND(L461*K461*(1+M461+N461),2)</f>
        <v/>
      </c>
      <c r="P461" t="inlineStr">
        <is>
          <t>Patricia Romero</t>
        </is>
      </c>
      <c r="Q461" t="inlineStr">
        <is>
          <t>México</t>
        </is>
      </c>
      <c r="R461" t="inlineStr">
        <is>
          <t>Ciudad de México</t>
        </is>
      </c>
    </row>
    <row r="462">
      <c r="A462" t="inlineStr">
        <is>
          <t>EMP-0461</t>
        </is>
      </c>
      <c r="B462" t="inlineStr">
        <is>
          <t>Sergio</t>
        </is>
      </c>
      <c r="C462" t="inlineStr">
        <is>
          <t>Álvarez</t>
        </is>
      </c>
      <c r="D462" t="inlineStr">
        <is>
          <t>Operaciones</t>
        </is>
      </c>
      <c r="E462" t="inlineStr">
        <is>
          <t>Especialista de cuentas</t>
        </is>
      </c>
      <c r="F462" t="inlineStr">
        <is>
          <t>Anuncios prensa</t>
        </is>
      </c>
      <c r="G462" t="inlineStr">
        <is>
          <t>Indefinido</t>
        </is>
      </c>
      <c r="H462" s="2" t="n">
        <v>44011</v>
      </c>
      <c r="I462" s="2" t="n"/>
      <c r="J462" t="inlineStr">
        <is>
          <t>Activo</t>
        </is>
      </c>
      <c r="K462" s="3" t="n">
        <v>1</v>
      </c>
      <c r="L462" s="4" t="n">
        <v>26881</v>
      </c>
      <c r="M462" s="3" t="n">
        <v>0.08</v>
      </c>
      <c r="N462" s="3" t="n">
        <v>0.334</v>
      </c>
      <c r="O462" s="4">
        <f>ROUND(L462*K462*(1+M462+N462),2)</f>
        <v/>
      </c>
      <c r="P462" t="inlineStr">
        <is>
          <t>Ana Torres</t>
        </is>
      </c>
      <c r="Q462" t="inlineStr">
        <is>
          <t>México</t>
        </is>
      </c>
      <c r="R462" t="inlineStr">
        <is>
          <t>Ciudad de México</t>
        </is>
      </c>
    </row>
    <row r="463">
      <c r="A463" t="inlineStr">
        <is>
          <t>EMP-0462</t>
        </is>
      </c>
      <c r="B463" t="inlineStr">
        <is>
          <t>Víctor</t>
        </is>
      </c>
      <c r="C463" t="inlineStr">
        <is>
          <t>Vázquez</t>
        </is>
      </c>
      <c r="D463" t="inlineStr">
        <is>
          <t>Operaciones</t>
        </is>
      </c>
      <c r="E463" t="inlineStr">
        <is>
          <t>Project manager</t>
        </is>
      </c>
      <c r="F463" t="inlineStr">
        <is>
          <t>Anuncios internet</t>
        </is>
      </c>
      <c r="G463" t="inlineStr">
        <is>
          <t>Indefinido</t>
        </is>
      </c>
      <c r="H463" s="2" t="n">
        <v>43502</v>
      </c>
      <c r="I463" s="2" t="n"/>
      <c r="J463" t="inlineStr">
        <is>
          <t>Activo</t>
        </is>
      </c>
      <c r="K463" s="3" t="n">
        <v>0.75</v>
      </c>
      <c r="L463" s="4" t="n">
        <v>24722</v>
      </c>
      <c r="M463" s="3" t="n">
        <v>0.08</v>
      </c>
      <c r="N463" s="3" t="n">
        <v>0.325</v>
      </c>
      <c r="O463" s="4">
        <f>ROUND(L463*K463*(1+M463+N463),2)</f>
        <v/>
      </c>
      <c r="P463" t="inlineStr">
        <is>
          <t>Jorge Molina</t>
        </is>
      </c>
      <c r="Q463" t="inlineStr">
        <is>
          <t>México</t>
        </is>
      </c>
      <c r="R463" t="inlineStr">
        <is>
          <t>Ciudad de México</t>
        </is>
      </c>
    </row>
    <row r="464">
      <c r="A464" t="inlineStr">
        <is>
          <t>EMP-0463</t>
        </is>
      </c>
      <c r="B464" t="inlineStr">
        <is>
          <t>Sergio</t>
        </is>
      </c>
      <c r="C464" t="inlineStr">
        <is>
          <t>Ortega</t>
        </is>
      </c>
      <c r="D464" t="inlineStr">
        <is>
          <t>RRHH</t>
        </is>
      </c>
      <c r="E464" t="inlineStr">
        <is>
          <t>Employer branding specialist</t>
        </is>
      </c>
      <c r="F464" t="inlineStr">
        <is>
          <t>Mantenimiento intranets</t>
        </is>
      </c>
      <c r="G464" t="inlineStr">
        <is>
          <t>Freelance</t>
        </is>
      </c>
      <c r="H464" s="2" t="n">
        <v>43166</v>
      </c>
      <c r="I464" s="2" t="n"/>
      <c r="J464" t="inlineStr">
        <is>
          <t>Activo</t>
        </is>
      </c>
      <c r="K464" s="3" t="n">
        <v>1</v>
      </c>
      <c r="L464" s="4" t="n">
        <v>27301</v>
      </c>
      <c r="M464" s="3" t="n">
        <v>0.1</v>
      </c>
      <c r="N464" s="3" t="n">
        <v>0.308</v>
      </c>
      <c r="O464" s="4">
        <f>ROUND(L464*K464*(1+M464+N464),2)</f>
        <v/>
      </c>
      <c r="P464" t="inlineStr">
        <is>
          <t>Jorge Molina</t>
        </is>
      </c>
      <c r="Q464" t="inlineStr">
        <is>
          <t>España</t>
        </is>
      </c>
      <c r="R464" t="inlineStr">
        <is>
          <t>Valencia</t>
        </is>
      </c>
    </row>
    <row r="465">
      <c r="A465" t="inlineStr">
        <is>
          <t>EMP-0464</t>
        </is>
      </c>
      <c r="B465" t="inlineStr">
        <is>
          <t>Raúl</t>
        </is>
      </c>
      <c r="C465" t="inlineStr">
        <is>
          <t>Gómez</t>
        </is>
      </c>
      <c r="D465" t="inlineStr">
        <is>
          <t>Operaciones</t>
        </is>
      </c>
      <c r="E465" t="inlineStr">
        <is>
          <t>Project manager</t>
        </is>
      </c>
      <c r="F465" t="inlineStr">
        <is>
          <t>Anuncios internet</t>
        </is>
      </c>
      <c r="G465" t="inlineStr">
        <is>
          <t>Temporal</t>
        </is>
      </c>
      <c r="H465" s="2" t="n">
        <v>44618</v>
      </c>
      <c r="I465" s="2" t="n"/>
      <c r="J465" t="inlineStr">
        <is>
          <t>Activo</t>
        </is>
      </c>
      <c r="K465" s="3" t="n">
        <v>0.5</v>
      </c>
      <c r="L465" s="4" t="n">
        <v>50193</v>
      </c>
      <c r="M465" s="3" t="n">
        <v>0.1</v>
      </c>
      <c r="N465" s="3" t="n">
        <v>0.284</v>
      </c>
      <c r="O465" s="4">
        <f>ROUND(L465*K465*(1+M465+N465),2)</f>
        <v/>
      </c>
      <c r="P465" t="inlineStr">
        <is>
          <t>Patricia Romero</t>
        </is>
      </c>
      <c r="Q465" t="inlineStr">
        <is>
          <t>España</t>
        </is>
      </c>
      <c r="R465" t="inlineStr">
        <is>
          <t>Barcelona</t>
        </is>
      </c>
    </row>
    <row r="466">
      <c r="A466" t="inlineStr">
        <is>
          <t>EMP-0465</t>
        </is>
      </c>
      <c r="B466" t="inlineStr">
        <is>
          <t>Álex</t>
        </is>
      </c>
      <c r="C466" t="inlineStr">
        <is>
          <t>Ramos</t>
        </is>
      </c>
      <c r="D466" t="inlineStr">
        <is>
          <t>Atención al cliente</t>
        </is>
      </c>
      <c r="E466" t="inlineStr">
        <is>
          <t>Customer success</t>
        </is>
      </c>
      <c r="F466" t="inlineStr">
        <is>
          <t>Mantenimiento web</t>
        </is>
      </c>
      <c r="G466" t="inlineStr">
        <is>
          <t>Indefinido</t>
        </is>
      </c>
      <c r="H466" s="2" t="n">
        <v>43949</v>
      </c>
      <c r="I466" s="2" t="n"/>
      <c r="J466" t="inlineStr">
        <is>
          <t>Activo</t>
        </is>
      </c>
      <c r="K466" s="3" t="n">
        <v>0.5</v>
      </c>
      <c r="L466" s="4" t="n">
        <v>42331</v>
      </c>
      <c r="M466" s="3" t="n">
        <v>0.03</v>
      </c>
      <c r="N466" s="3" t="n">
        <v>0.324</v>
      </c>
      <c r="O466" s="4">
        <f>ROUND(L466*K466*(1+M466+N466),2)</f>
        <v/>
      </c>
      <c r="P466" t="inlineStr">
        <is>
          <t>Silvia Navarro</t>
        </is>
      </c>
      <c r="Q466" t="inlineStr">
        <is>
          <t>España</t>
        </is>
      </c>
      <c r="R466" t="inlineStr">
        <is>
          <t>Valencia</t>
        </is>
      </c>
    </row>
    <row r="467">
      <c r="A467" t="inlineStr">
        <is>
          <t>EMP-0466</t>
        </is>
      </c>
      <c r="B467" t="inlineStr">
        <is>
          <t>Óscar</t>
        </is>
      </c>
      <c r="C467" t="inlineStr">
        <is>
          <t>Serrano</t>
        </is>
      </c>
      <c r="D467" t="inlineStr">
        <is>
          <t>Marketing</t>
        </is>
      </c>
      <c r="E467" t="inlineStr">
        <is>
          <t>Especialista SEM</t>
        </is>
      </c>
      <c r="F467" t="inlineStr">
        <is>
          <t>Mantenimiento web</t>
        </is>
      </c>
      <c r="G467" t="inlineStr">
        <is>
          <t>Indefinido</t>
        </is>
      </c>
      <c r="H467" s="2" t="n">
        <v>44601</v>
      </c>
      <c r="I467" s="2" t="n"/>
      <c r="J467" t="inlineStr">
        <is>
          <t>Activo</t>
        </is>
      </c>
      <c r="K467" s="3" t="n">
        <v>1</v>
      </c>
      <c r="L467" s="4" t="n">
        <v>49645</v>
      </c>
      <c r="M467" s="3" t="n">
        <v>0.08</v>
      </c>
      <c r="N467" s="3" t="n">
        <v>0.323</v>
      </c>
      <c r="O467" s="4">
        <f>ROUND(L467*K467*(1+M467+N467),2)</f>
        <v/>
      </c>
      <c r="P467" t="inlineStr">
        <is>
          <t>Luis Gómez</t>
        </is>
      </c>
      <c r="Q467" t="inlineStr">
        <is>
          <t>España</t>
        </is>
      </c>
      <c r="R467" t="inlineStr">
        <is>
          <t>Valencia</t>
        </is>
      </c>
    </row>
    <row r="468">
      <c r="A468" t="inlineStr">
        <is>
          <t>EMP-0467</t>
        </is>
      </c>
      <c r="B468" t="inlineStr">
        <is>
          <t>Joel</t>
        </is>
      </c>
      <c r="C468" t="inlineStr">
        <is>
          <t>Marín</t>
        </is>
      </c>
      <c r="D468" t="inlineStr">
        <is>
          <t>Marketing</t>
        </is>
      </c>
      <c r="E468" t="inlineStr">
        <is>
          <t>Media planner</t>
        </is>
      </c>
      <c r="F468" t="inlineStr">
        <is>
          <t>Mantenimiento intranets</t>
        </is>
      </c>
      <c r="G468" t="inlineStr">
        <is>
          <t>Freelance</t>
        </is>
      </c>
      <c r="H468" s="2" t="n">
        <v>43960</v>
      </c>
      <c r="I468" s="2" t="n"/>
      <c r="J468" t="inlineStr">
        <is>
          <t>Activo</t>
        </is>
      </c>
      <c r="K468" s="3" t="n">
        <v>0.75</v>
      </c>
      <c r="L468" s="4" t="n">
        <v>39389</v>
      </c>
      <c r="M468" s="3" t="n">
        <v>0.03</v>
      </c>
      <c r="N468" s="3" t="n">
        <v>0.31</v>
      </c>
      <c r="O468" s="4">
        <f>ROUND(L468*K468*(1+M468+N468),2)</f>
        <v/>
      </c>
      <c r="P468" t="inlineStr">
        <is>
          <t>Patricia Romero</t>
        </is>
      </c>
      <c r="Q468" t="inlineStr">
        <is>
          <t>España</t>
        </is>
      </c>
      <c r="R468" t="inlineStr">
        <is>
          <t>Sevilla</t>
        </is>
      </c>
    </row>
    <row r="469">
      <c r="A469" t="inlineStr">
        <is>
          <t>EMP-0468</t>
        </is>
      </c>
      <c r="B469" t="inlineStr">
        <is>
          <t>Iván</t>
        </is>
      </c>
      <c r="C469" t="inlineStr">
        <is>
          <t>Vázquez</t>
        </is>
      </c>
      <c r="D469" t="inlineStr">
        <is>
          <t>Operaciones</t>
        </is>
      </c>
      <c r="E469" t="inlineStr">
        <is>
          <t>Especialista de cuentas</t>
        </is>
      </c>
      <c r="F469" t="inlineStr">
        <is>
          <t>Traducciones</t>
        </is>
      </c>
      <c r="G469" t="inlineStr">
        <is>
          <t>Indefinido</t>
        </is>
      </c>
      <c r="H469" s="2" t="n">
        <v>43603</v>
      </c>
      <c r="I469" s="2" t="n"/>
      <c r="J469" t="inlineStr">
        <is>
          <t>Activo</t>
        </is>
      </c>
      <c r="K469" s="3" t="n">
        <v>1</v>
      </c>
      <c r="L469" s="4" t="n">
        <v>44226</v>
      </c>
      <c r="M469" s="3" t="n">
        <v>0.12</v>
      </c>
      <c r="N469" s="3" t="n">
        <v>0.312</v>
      </c>
      <c r="O469" s="4">
        <f>ROUND(L469*K469*(1+M469+N469),2)</f>
        <v/>
      </c>
      <c r="P469" t="inlineStr">
        <is>
          <t>Fernando Ruiz</t>
        </is>
      </c>
      <c r="Q469" t="inlineStr">
        <is>
          <t>España</t>
        </is>
      </c>
      <c r="R469" t="inlineStr">
        <is>
          <t>Sevilla</t>
        </is>
      </c>
    </row>
    <row r="470">
      <c r="A470" t="inlineStr">
        <is>
          <t>EMP-0469</t>
        </is>
      </c>
      <c r="B470" t="inlineStr">
        <is>
          <t>Daniel</t>
        </is>
      </c>
      <c r="C470" t="inlineStr">
        <is>
          <t>López</t>
        </is>
      </c>
      <c r="D470" t="inlineStr">
        <is>
          <t>Marketing</t>
        </is>
      </c>
      <c r="E470" t="inlineStr">
        <is>
          <t>Especialista SEM</t>
        </is>
      </c>
      <c r="F470" t="inlineStr">
        <is>
          <t>Traducciones</t>
        </is>
      </c>
      <c r="G470" t="inlineStr">
        <is>
          <t>Indefinido</t>
        </is>
      </c>
      <c r="H470" s="2" t="n">
        <v>43833</v>
      </c>
      <c r="I470" s="2" t="n"/>
      <c r="J470" t="inlineStr">
        <is>
          <t>Activo</t>
        </is>
      </c>
      <c r="K470" s="3" t="n">
        <v>0.5</v>
      </c>
      <c r="L470" s="4" t="n">
        <v>30932</v>
      </c>
      <c r="M470" s="3" t="n">
        <v>0.03</v>
      </c>
      <c r="N470" s="3" t="n">
        <v>0.287</v>
      </c>
      <c r="O470" s="4">
        <f>ROUND(L470*K470*(1+M470+N470),2)</f>
        <v/>
      </c>
      <c r="P470" t="inlineStr">
        <is>
          <t>Fernando Ruiz</t>
        </is>
      </c>
      <c r="Q470" t="inlineStr">
        <is>
          <t>España</t>
        </is>
      </c>
      <c r="R470" t="inlineStr">
        <is>
          <t>Sevilla</t>
        </is>
      </c>
    </row>
    <row r="471">
      <c r="A471" t="inlineStr">
        <is>
          <t>EMP-0470</t>
        </is>
      </c>
      <c r="B471" t="inlineStr">
        <is>
          <t>Claudia</t>
        </is>
      </c>
      <c r="C471" t="inlineStr">
        <is>
          <t>Navarro</t>
        </is>
      </c>
      <c r="D471" t="inlineStr">
        <is>
          <t>Traducción</t>
        </is>
      </c>
      <c r="E471" t="inlineStr">
        <is>
          <t>Localization manager</t>
        </is>
      </c>
      <c r="F471" t="inlineStr">
        <is>
          <t>Mantenimiento intranets</t>
        </is>
      </c>
      <c r="G471" t="inlineStr">
        <is>
          <t>Freelance</t>
        </is>
      </c>
      <c r="H471" s="2" t="n">
        <v>45318</v>
      </c>
      <c r="I471" s="2" t="n"/>
      <c r="J471" t="inlineStr">
        <is>
          <t>Activo</t>
        </is>
      </c>
      <c r="K471" s="3" t="n">
        <v>1</v>
      </c>
      <c r="L471" s="4" t="n">
        <v>33360</v>
      </c>
      <c r="M471" s="3" t="n">
        <v>0.05</v>
      </c>
      <c r="N471" s="3" t="n">
        <v>0.307</v>
      </c>
      <c r="O471" s="4">
        <f>ROUND(L471*K471*(1+M471+N471),2)</f>
        <v/>
      </c>
      <c r="P471" t="inlineStr">
        <is>
          <t>Ana Torres</t>
        </is>
      </c>
      <c r="Q471" t="inlineStr">
        <is>
          <t>España</t>
        </is>
      </c>
      <c r="R471" t="inlineStr">
        <is>
          <t>Madrid</t>
        </is>
      </c>
    </row>
    <row r="472">
      <c r="A472" t="inlineStr">
        <is>
          <t>EMP-0471</t>
        </is>
      </c>
      <c r="B472" t="inlineStr">
        <is>
          <t>David</t>
        </is>
      </c>
      <c r="C472" t="inlineStr">
        <is>
          <t>Ortega</t>
        </is>
      </c>
      <c r="D472" t="inlineStr">
        <is>
          <t>Comercial</t>
        </is>
      </c>
      <c r="E472" t="inlineStr">
        <is>
          <t>Business developer</t>
        </is>
      </c>
      <c r="F472" t="inlineStr">
        <is>
          <t>Mantenimiento intranets</t>
        </is>
      </c>
      <c r="G472" t="inlineStr">
        <is>
          <t>Indefinido</t>
        </is>
      </c>
      <c r="H472" s="2" t="n">
        <v>45471</v>
      </c>
      <c r="I472" s="2" t="n"/>
      <c r="J472" t="inlineStr">
        <is>
          <t>Activo</t>
        </is>
      </c>
      <c r="K472" s="3" t="n">
        <v>1</v>
      </c>
      <c r="L472" s="4" t="n">
        <v>46790</v>
      </c>
      <c r="M472" s="3" t="n">
        <v>0.1</v>
      </c>
      <c r="N472" s="3" t="n">
        <v>0.322</v>
      </c>
      <c r="O472" s="4">
        <f>ROUND(L472*K472*(1+M472+N472),2)</f>
        <v/>
      </c>
      <c r="P472" t="inlineStr">
        <is>
          <t>Fernando Ruiz</t>
        </is>
      </c>
      <c r="Q472" t="inlineStr">
        <is>
          <t>España</t>
        </is>
      </c>
      <c r="R472" t="inlineStr">
        <is>
          <t>Barcelona</t>
        </is>
      </c>
    </row>
    <row r="473">
      <c r="A473" t="inlineStr">
        <is>
          <t>EMP-0472</t>
        </is>
      </c>
      <c r="B473" t="inlineStr">
        <is>
          <t>Elena</t>
        </is>
      </c>
      <c r="C473" t="inlineStr">
        <is>
          <t>Blanco</t>
        </is>
      </c>
      <c r="D473" t="inlineStr">
        <is>
          <t>Finanzas</t>
        </is>
      </c>
      <c r="E473" t="inlineStr">
        <is>
          <t>Controller</t>
        </is>
      </c>
      <c r="F473" t="inlineStr">
        <is>
          <t>Generación de noticias</t>
        </is>
      </c>
      <c r="G473" t="inlineStr">
        <is>
          <t>Indefinido</t>
        </is>
      </c>
      <c r="H473" s="2" t="n">
        <v>45084</v>
      </c>
      <c r="I473" s="2" t="n"/>
      <c r="J473" t="inlineStr">
        <is>
          <t>Activo</t>
        </is>
      </c>
      <c r="K473" s="3" t="n">
        <v>1</v>
      </c>
      <c r="L473" s="4" t="n">
        <v>47223</v>
      </c>
      <c r="M473" s="3" t="n">
        <v>0.12</v>
      </c>
      <c r="N473" s="3" t="n">
        <v>0.283</v>
      </c>
      <c r="O473" s="4">
        <f>ROUND(L473*K473*(1+M473+N473),2)</f>
        <v/>
      </c>
      <c r="P473" t="inlineStr">
        <is>
          <t>Patricia Romero</t>
        </is>
      </c>
      <c r="Q473" t="inlineStr">
        <is>
          <t>España</t>
        </is>
      </c>
      <c r="R473" t="inlineStr">
        <is>
          <t>Valencia</t>
        </is>
      </c>
    </row>
    <row r="474">
      <c r="A474" t="inlineStr">
        <is>
          <t>EMP-0473</t>
        </is>
      </c>
      <c r="B474" t="inlineStr">
        <is>
          <t>Eva</t>
        </is>
      </c>
      <c r="C474" t="inlineStr">
        <is>
          <t>Moreno</t>
        </is>
      </c>
      <c r="D474" t="inlineStr">
        <is>
          <t>Finanzas</t>
        </is>
      </c>
      <c r="E474" t="inlineStr">
        <is>
          <t>Controller</t>
        </is>
      </c>
      <c r="F474" t="inlineStr">
        <is>
          <t>Publicación de noticias</t>
        </is>
      </c>
      <c r="G474" t="inlineStr">
        <is>
          <t>Indefinido</t>
        </is>
      </c>
      <c r="H474" s="2" t="n">
        <v>43819</v>
      </c>
      <c r="I474" s="2" t="n"/>
      <c r="J474" t="inlineStr">
        <is>
          <t>Activo</t>
        </is>
      </c>
      <c r="K474" s="3" t="n">
        <v>0.75</v>
      </c>
      <c r="L474" s="4" t="n">
        <v>27283</v>
      </c>
      <c r="M474" s="3" t="n">
        <v>0</v>
      </c>
      <c r="N474" s="3" t="n">
        <v>0.287</v>
      </c>
      <c r="O474" s="4">
        <f>ROUND(L474*K474*(1+M474+N474),2)</f>
        <v/>
      </c>
      <c r="P474" t="inlineStr">
        <is>
          <t>Silvia Navarro</t>
        </is>
      </c>
      <c r="Q474" t="inlineStr">
        <is>
          <t>Portugal</t>
        </is>
      </c>
      <c r="R474" t="inlineStr">
        <is>
          <t>Lisboa</t>
        </is>
      </c>
    </row>
    <row r="475">
      <c r="A475" t="inlineStr">
        <is>
          <t>EMP-0474</t>
        </is>
      </c>
      <c r="B475" t="inlineStr">
        <is>
          <t>Miguel</t>
        </is>
      </c>
      <c r="C475" t="inlineStr">
        <is>
          <t>Ramos</t>
        </is>
      </c>
      <c r="D475" t="inlineStr">
        <is>
          <t>Traducción</t>
        </is>
      </c>
      <c r="E475" t="inlineStr">
        <is>
          <t>Traductor</t>
        </is>
      </c>
      <c r="F475" t="inlineStr">
        <is>
          <t>Anuncios internet</t>
        </is>
      </c>
      <c r="G475" t="inlineStr">
        <is>
          <t>Indefinido</t>
        </is>
      </c>
      <c r="H475" s="2" t="n">
        <v>44399</v>
      </c>
      <c r="I475" s="2" t="n"/>
      <c r="J475" t="inlineStr">
        <is>
          <t>Activo</t>
        </is>
      </c>
      <c r="K475" s="3" t="n">
        <v>0.75</v>
      </c>
      <c r="L475" s="4" t="n">
        <v>34219</v>
      </c>
      <c r="M475" s="3" t="n">
        <v>0.05</v>
      </c>
      <c r="N475" s="3" t="n">
        <v>0.312</v>
      </c>
      <c r="O475" s="4">
        <f>ROUND(L475*K475*(1+M475+N475),2)</f>
        <v/>
      </c>
      <c r="P475" t="inlineStr">
        <is>
          <t>Silvia Navarro</t>
        </is>
      </c>
      <c r="Q475" t="inlineStr">
        <is>
          <t>España</t>
        </is>
      </c>
      <c r="R475" t="inlineStr">
        <is>
          <t>Barcelona</t>
        </is>
      </c>
    </row>
    <row r="476">
      <c r="A476" t="inlineStr">
        <is>
          <t>EMP-0475</t>
        </is>
      </c>
      <c r="B476" t="inlineStr">
        <is>
          <t>Iván</t>
        </is>
      </c>
      <c r="C476" t="inlineStr">
        <is>
          <t>Molina</t>
        </is>
      </c>
      <c r="D476" t="inlineStr">
        <is>
          <t>Comercial</t>
        </is>
      </c>
      <c r="E476" t="inlineStr">
        <is>
          <t>Business developer</t>
        </is>
      </c>
      <c r="F476" t="inlineStr">
        <is>
          <t>Traducciones</t>
        </is>
      </c>
      <c r="G476" t="inlineStr">
        <is>
          <t>Indefinido</t>
        </is>
      </c>
      <c r="H476" s="2" t="n">
        <v>44977</v>
      </c>
      <c r="I476" s="2" t="n"/>
      <c r="J476" t="inlineStr">
        <is>
          <t>Activo</t>
        </is>
      </c>
      <c r="K476" s="3" t="n">
        <v>0.75</v>
      </c>
      <c r="L476" s="4" t="n">
        <v>34087</v>
      </c>
      <c r="M476" s="3" t="n">
        <v>0.1</v>
      </c>
      <c r="N476" s="3" t="n">
        <v>0.313</v>
      </c>
      <c r="O476" s="4">
        <f>ROUND(L476*K476*(1+M476+N476),2)</f>
        <v/>
      </c>
      <c r="P476" t="inlineStr">
        <is>
          <t>Patricia Romero</t>
        </is>
      </c>
      <c r="Q476" t="inlineStr">
        <is>
          <t>Colombia</t>
        </is>
      </c>
      <c r="R476" t="inlineStr">
        <is>
          <t>Medellín</t>
        </is>
      </c>
    </row>
    <row r="477">
      <c r="A477" t="inlineStr">
        <is>
          <t>EMP-0476</t>
        </is>
      </c>
      <c r="B477" t="inlineStr">
        <is>
          <t>Marina</t>
        </is>
      </c>
      <c r="C477" t="inlineStr">
        <is>
          <t>Suárez</t>
        </is>
      </c>
      <c r="D477" t="inlineStr">
        <is>
          <t>Comercial</t>
        </is>
      </c>
      <c r="E477" t="inlineStr">
        <is>
          <t>Business developer</t>
        </is>
      </c>
      <c r="F477" t="inlineStr">
        <is>
          <t>Anuncios internet</t>
        </is>
      </c>
      <c r="G477" t="inlineStr">
        <is>
          <t>Freelance</t>
        </is>
      </c>
      <c r="H477" s="2" t="n">
        <v>44911</v>
      </c>
      <c r="I477" s="2" t="n"/>
      <c r="J477" t="inlineStr">
        <is>
          <t>Activo</t>
        </is>
      </c>
      <c r="K477" s="3" t="n">
        <v>0.5</v>
      </c>
      <c r="L477" s="4" t="n">
        <v>53897</v>
      </c>
      <c r="M477" s="3" t="n">
        <v>0</v>
      </c>
      <c r="N477" s="3" t="n">
        <v>0.288</v>
      </c>
      <c r="O477" s="4">
        <f>ROUND(L477*K477*(1+M477+N477),2)</f>
        <v/>
      </c>
      <c r="P477" t="inlineStr">
        <is>
          <t>Ana Torres</t>
        </is>
      </c>
      <c r="Q477" t="inlineStr">
        <is>
          <t>Colombia</t>
        </is>
      </c>
      <c r="R477" t="inlineStr">
        <is>
          <t>Bogotá</t>
        </is>
      </c>
    </row>
    <row r="478">
      <c r="A478" t="inlineStr">
        <is>
          <t>EMP-0477</t>
        </is>
      </c>
      <c r="B478" t="inlineStr">
        <is>
          <t>Sara</t>
        </is>
      </c>
      <c r="C478" t="inlineStr">
        <is>
          <t>Romero</t>
        </is>
      </c>
      <c r="D478" t="inlineStr">
        <is>
          <t>Comercial</t>
        </is>
      </c>
      <c r="E478" t="inlineStr">
        <is>
          <t>Sales manager</t>
        </is>
      </c>
      <c r="F478" t="inlineStr">
        <is>
          <t>Mantenimiento web</t>
        </is>
      </c>
      <c r="G478" t="inlineStr">
        <is>
          <t>Indefinido</t>
        </is>
      </c>
      <c r="H478" s="2" t="n">
        <v>43326</v>
      </c>
      <c r="I478" s="2" t="n"/>
      <c r="J478" t="inlineStr">
        <is>
          <t>Activo</t>
        </is>
      </c>
      <c r="K478" s="3" t="n">
        <v>0.75</v>
      </c>
      <c r="L478" s="4" t="n">
        <v>49429</v>
      </c>
      <c r="M478" s="3" t="n">
        <v>0</v>
      </c>
      <c r="N478" s="3" t="n">
        <v>0.327</v>
      </c>
      <c r="O478" s="4">
        <f>ROUND(L478*K478*(1+M478+N478),2)</f>
        <v/>
      </c>
      <c r="P478" t="inlineStr">
        <is>
          <t>Luis Gómez</t>
        </is>
      </c>
      <c r="Q478" t="inlineStr">
        <is>
          <t>España</t>
        </is>
      </c>
      <c r="R478" t="inlineStr">
        <is>
          <t>Barcelona</t>
        </is>
      </c>
    </row>
    <row r="479">
      <c r="A479" t="inlineStr">
        <is>
          <t>EMP-0478</t>
        </is>
      </c>
      <c r="B479" t="inlineStr">
        <is>
          <t>Daniel</t>
        </is>
      </c>
      <c r="C479" t="inlineStr">
        <is>
          <t>Vázquez</t>
        </is>
      </c>
      <c r="D479" t="inlineStr">
        <is>
          <t>Operaciones</t>
        </is>
      </c>
      <c r="E479" t="inlineStr">
        <is>
          <t>Especialista de cuentas</t>
        </is>
      </c>
      <c r="F479" t="inlineStr">
        <is>
          <t>Traducciones</t>
        </is>
      </c>
      <c r="G479" t="inlineStr">
        <is>
          <t>Indefinido</t>
        </is>
      </c>
      <c r="H479" s="2" t="n">
        <v>45109</v>
      </c>
      <c r="I479" s="2" t="n"/>
      <c r="J479" t="inlineStr">
        <is>
          <t>Activo</t>
        </is>
      </c>
      <c r="K479" s="3" t="n">
        <v>1</v>
      </c>
      <c r="L479" s="4" t="n">
        <v>38762</v>
      </c>
      <c r="M479" s="3" t="n">
        <v>0</v>
      </c>
      <c r="N479" s="3" t="n">
        <v>0.335</v>
      </c>
      <c r="O479" s="4">
        <f>ROUND(L479*K479*(1+M479+N479),2)</f>
        <v/>
      </c>
      <c r="P479" t="inlineStr">
        <is>
          <t>Fernando Ruiz</t>
        </is>
      </c>
      <c r="Q479" t="inlineStr">
        <is>
          <t>España</t>
        </is>
      </c>
      <c r="R479" t="inlineStr">
        <is>
          <t>Sevilla</t>
        </is>
      </c>
    </row>
    <row r="480">
      <c r="A480" t="inlineStr">
        <is>
          <t>EMP-0479</t>
        </is>
      </c>
      <c r="B480" t="inlineStr">
        <is>
          <t>Lucía</t>
        </is>
      </c>
      <c r="C480" t="inlineStr">
        <is>
          <t>Moreno</t>
        </is>
      </c>
      <c r="D480" t="inlineStr">
        <is>
          <t>Traducción</t>
        </is>
      </c>
      <c r="E480" t="inlineStr">
        <is>
          <t>Revisor lingüístico</t>
        </is>
      </c>
      <c r="F480" t="inlineStr">
        <is>
          <t>Anuncios prensa</t>
        </is>
      </c>
      <c r="G480" t="inlineStr">
        <is>
          <t>Indefinido</t>
        </is>
      </c>
      <c r="H480" s="2" t="n">
        <v>44362</v>
      </c>
      <c r="I480" s="2" t="n"/>
      <c r="J480" t="inlineStr">
        <is>
          <t>Activo</t>
        </is>
      </c>
      <c r="K480" s="3" t="n">
        <v>1</v>
      </c>
      <c r="L480" s="4" t="n">
        <v>24870</v>
      </c>
      <c r="M480" s="3" t="n">
        <v>0</v>
      </c>
      <c r="N480" s="3" t="n">
        <v>0.324</v>
      </c>
      <c r="O480" s="4">
        <f>ROUND(L480*K480*(1+M480+N480),2)</f>
        <v/>
      </c>
      <c r="P480" t="inlineStr">
        <is>
          <t>Jorge Molina</t>
        </is>
      </c>
      <c r="Q480" t="inlineStr">
        <is>
          <t>España</t>
        </is>
      </c>
      <c r="R480" t="inlineStr">
        <is>
          <t>Valencia</t>
        </is>
      </c>
    </row>
    <row r="481">
      <c r="A481" t="inlineStr">
        <is>
          <t>EMP-0480</t>
        </is>
      </c>
      <c r="B481" t="inlineStr">
        <is>
          <t>Nuria</t>
        </is>
      </c>
      <c r="C481" t="inlineStr">
        <is>
          <t>Pérez</t>
        </is>
      </c>
      <c r="D481" t="inlineStr">
        <is>
          <t>RRHH</t>
        </is>
      </c>
      <c r="E481" t="inlineStr">
        <is>
          <t>Employer branding specialist</t>
        </is>
      </c>
      <c r="F481" t="inlineStr">
        <is>
          <t>Anuncios internet</t>
        </is>
      </c>
      <c r="G481" t="inlineStr">
        <is>
          <t>Temporal</t>
        </is>
      </c>
      <c r="H481" s="2" t="n">
        <v>45550</v>
      </c>
      <c r="I481" s="2" t="n"/>
      <c r="J481" t="inlineStr">
        <is>
          <t>Activo</t>
        </is>
      </c>
      <c r="K481" s="3" t="n">
        <v>0.75</v>
      </c>
      <c r="L481" s="4" t="n">
        <v>31936</v>
      </c>
      <c r="M481" s="3" t="n">
        <v>0.05</v>
      </c>
      <c r="N481" s="3" t="n">
        <v>0.339</v>
      </c>
      <c r="O481" s="4">
        <f>ROUND(L481*K481*(1+M481+N481),2)</f>
        <v/>
      </c>
      <c r="P481" t="inlineStr">
        <is>
          <t>Patricia Romero</t>
        </is>
      </c>
      <c r="Q481" t="inlineStr">
        <is>
          <t>España</t>
        </is>
      </c>
      <c r="R481" t="inlineStr">
        <is>
          <t>Sevilla</t>
        </is>
      </c>
    </row>
    <row r="482">
      <c r="A482" t="inlineStr">
        <is>
          <t>EMP-0481</t>
        </is>
      </c>
      <c r="B482" t="inlineStr">
        <is>
          <t>Rubén</t>
        </is>
      </c>
      <c r="C482" t="inlineStr">
        <is>
          <t>Navarro</t>
        </is>
      </c>
      <c r="D482" t="inlineStr">
        <is>
          <t>Redacción</t>
        </is>
      </c>
      <c r="E482" t="inlineStr">
        <is>
          <t>Editor</t>
        </is>
      </c>
      <c r="F482" t="inlineStr">
        <is>
          <t>Anuncios prensa</t>
        </is>
      </c>
      <c r="G482" t="inlineStr">
        <is>
          <t>Indefinido</t>
        </is>
      </c>
      <c r="H482" s="2" t="n">
        <v>44993</v>
      </c>
      <c r="I482" s="2" t="n"/>
      <c r="J482" t="inlineStr">
        <is>
          <t>Activo</t>
        </is>
      </c>
      <c r="K482" s="3" t="n">
        <v>0.75</v>
      </c>
      <c r="L482" s="4" t="n">
        <v>28529</v>
      </c>
      <c r="M482" s="3" t="n">
        <v>0</v>
      </c>
      <c r="N482" s="3" t="n">
        <v>0.33</v>
      </c>
      <c r="O482" s="4">
        <f>ROUND(L482*K482*(1+M482+N482),2)</f>
        <v/>
      </c>
      <c r="P482" t="inlineStr">
        <is>
          <t>Silvia Navarro</t>
        </is>
      </c>
      <c r="Q482" t="inlineStr">
        <is>
          <t>España</t>
        </is>
      </c>
      <c r="R482" t="inlineStr">
        <is>
          <t>Sevilla</t>
        </is>
      </c>
    </row>
    <row r="483">
      <c r="A483" t="inlineStr">
        <is>
          <t>EMP-0482</t>
        </is>
      </c>
      <c r="B483" t="inlineStr">
        <is>
          <t>Joel</t>
        </is>
      </c>
      <c r="C483" t="inlineStr">
        <is>
          <t>Moreno</t>
        </is>
      </c>
      <c r="D483" t="inlineStr">
        <is>
          <t>Finanzas</t>
        </is>
      </c>
      <c r="E483" t="inlineStr">
        <is>
          <t>Técnico de facturación</t>
        </is>
      </c>
      <c r="F483" t="inlineStr">
        <is>
          <t>Mantenimiento web</t>
        </is>
      </c>
      <c r="G483" t="inlineStr">
        <is>
          <t>Indefinido</t>
        </is>
      </c>
      <c r="H483" s="2" t="n">
        <v>44999</v>
      </c>
      <c r="I483" s="2" t="n"/>
      <c r="J483" t="inlineStr">
        <is>
          <t>Activo</t>
        </is>
      </c>
      <c r="K483" s="3" t="n">
        <v>0.5</v>
      </c>
      <c r="L483" s="4" t="n">
        <v>27047</v>
      </c>
      <c r="M483" s="3" t="n">
        <v>0.03</v>
      </c>
      <c r="N483" s="3" t="n">
        <v>0.298</v>
      </c>
      <c r="O483" s="4">
        <f>ROUND(L483*K483*(1+M483+N483),2)</f>
        <v/>
      </c>
      <c r="P483" t="inlineStr">
        <is>
          <t>Jorge Molina</t>
        </is>
      </c>
      <c r="Q483" t="inlineStr">
        <is>
          <t>México</t>
        </is>
      </c>
      <c r="R483" t="inlineStr">
        <is>
          <t>Guadalajara</t>
        </is>
      </c>
    </row>
    <row r="484">
      <c r="A484" t="inlineStr">
        <is>
          <t>EMP-0483</t>
        </is>
      </c>
      <c r="B484" t="inlineStr">
        <is>
          <t>Nuria</t>
        </is>
      </c>
      <c r="C484" t="inlineStr">
        <is>
          <t>Gómez</t>
        </is>
      </c>
      <c r="D484" t="inlineStr">
        <is>
          <t>Finanzas</t>
        </is>
      </c>
      <c r="E484" t="inlineStr">
        <is>
          <t>Técnico de facturación</t>
        </is>
      </c>
      <c r="F484" t="inlineStr">
        <is>
          <t>Traducciones</t>
        </is>
      </c>
      <c r="G484" t="inlineStr">
        <is>
          <t>Indefinido</t>
        </is>
      </c>
      <c r="H484" s="2" t="n">
        <v>44103</v>
      </c>
      <c r="I484" s="2" t="n">
        <v>44850</v>
      </c>
      <c r="J484" t="inlineStr">
        <is>
          <t>Baja</t>
        </is>
      </c>
      <c r="K484" s="3" t="n">
        <v>1</v>
      </c>
      <c r="L484" s="4" t="n">
        <v>24186</v>
      </c>
      <c r="M484" s="3" t="n">
        <v>0.08</v>
      </c>
      <c r="N484" s="3" t="n">
        <v>0.325</v>
      </c>
      <c r="O484" s="4">
        <f>ROUND(L484*K484*(1+M484+N484),2)</f>
        <v/>
      </c>
      <c r="P484" t="inlineStr">
        <is>
          <t>Fernando Ruiz</t>
        </is>
      </c>
      <c r="Q484" t="inlineStr">
        <is>
          <t>Portugal</t>
        </is>
      </c>
      <c r="R484" t="inlineStr">
        <is>
          <t>Oporto</t>
        </is>
      </c>
    </row>
    <row r="485">
      <c r="A485" t="inlineStr">
        <is>
          <t>EMP-0484</t>
        </is>
      </c>
      <c r="B485" t="inlineStr">
        <is>
          <t>Álvaro</t>
        </is>
      </c>
      <c r="C485" t="inlineStr">
        <is>
          <t>Romero</t>
        </is>
      </c>
      <c r="D485" t="inlineStr">
        <is>
          <t>RRHH</t>
        </is>
      </c>
      <c r="E485" t="inlineStr">
        <is>
          <t>Recruitment marketer</t>
        </is>
      </c>
      <c r="F485" t="inlineStr">
        <is>
          <t>Generación de noticias</t>
        </is>
      </c>
      <c r="G485" t="inlineStr">
        <is>
          <t>Indefinido</t>
        </is>
      </c>
      <c r="H485" s="2" t="n">
        <v>45457</v>
      </c>
      <c r="I485" s="2" t="n">
        <v>46168</v>
      </c>
      <c r="J485" t="inlineStr">
        <is>
          <t>Baja</t>
        </is>
      </c>
      <c r="K485" s="3" t="n">
        <v>0.75</v>
      </c>
      <c r="L485" s="4" t="n">
        <v>41059</v>
      </c>
      <c r="M485" s="3" t="n">
        <v>0</v>
      </c>
      <c r="N485" s="3" t="n">
        <v>0.289</v>
      </c>
      <c r="O485" s="4">
        <f>ROUND(L485*K485*(1+M485+N485),2)</f>
        <v/>
      </c>
      <c r="P485" t="inlineStr">
        <is>
          <t>Jorge Molina</t>
        </is>
      </c>
      <c r="Q485" t="inlineStr">
        <is>
          <t>Portugal</t>
        </is>
      </c>
      <c r="R485" t="inlineStr">
        <is>
          <t>Oporto</t>
        </is>
      </c>
    </row>
    <row r="486">
      <c r="A486" t="inlineStr">
        <is>
          <t>EMP-0485</t>
        </is>
      </c>
      <c r="B486" t="inlineStr">
        <is>
          <t>Adrián</t>
        </is>
      </c>
      <c r="C486" t="inlineStr">
        <is>
          <t>Navarro</t>
        </is>
      </c>
      <c r="D486" t="inlineStr">
        <is>
          <t>Traducción</t>
        </is>
      </c>
      <c r="E486" t="inlineStr">
        <is>
          <t>Localization manager</t>
        </is>
      </c>
      <c r="F486" t="inlineStr">
        <is>
          <t>Anuncios RRHH</t>
        </is>
      </c>
      <c r="G486" t="inlineStr">
        <is>
          <t>Indefinido</t>
        </is>
      </c>
      <c r="H486" s="2" t="n">
        <v>44559</v>
      </c>
      <c r="I486" s="2" t="n">
        <v>45336</v>
      </c>
      <c r="J486" t="inlineStr">
        <is>
          <t>Baja</t>
        </is>
      </c>
      <c r="K486" s="3" t="n">
        <v>1</v>
      </c>
      <c r="L486" s="4" t="n">
        <v>42936</v>
      </c>
      <c r="M486" s="3" t="n">
        <v>0</v>
      </c>
      <c r="N486" s="3" t="n">
        <v>0.311</v>
      </c>
      <c r="O486" s="4">
        <f>ROUND(L486*K486*(1+M486+N486),2)</f>
        <v/>
      </c>
      <c r="P486" t="inlineStr">
        <is>
          <t>Luis Gómez</t>
        </is>
      </c>
      <c r="Q486" t="inlineStr">
        <is>
          <t>España</t>
        </is>
      </c>
      <c r="R486" t="inlineStr">
        <is>
          <t>Valencia</t>
        </is>
      </c>
    </row>
    <row r="487">
      <c r="A487" t="inlineStr">
        <is>
          <t>EMP-0486</t>
        </is>
      </c>
      <c r="B487" t="inlineStr">
        <is>
          <t>Hugo</t>
        </is>
      </c>
      <c r="C487" t="inlineStr">
        <is>
          <t>Díaz</t>
        </is>
      </c>
      <c r="D487" t="inlineStr">
        <is>
          <t>Redacción</t>
        </is>
      </c>
      <c r="E487" t="inlineStr">
        <is>
          <t>Redactor</t>
        </is>
      </c>
      <c r="F487" t="inlineStr">
        <is>
          <t>Publicación de noticias</t>
        </is>
      </c>
      <c r="G487" t="inlineStr">
        <is>
          <t>Indefinido</t>
        </is>
      </c>
      <c r="H487" s="2" t="n">
        <v>44585</v>
      </c>
      <c r="I487" s="2" t="n"/>
      <c r="J487" t="inlineStr">
        <is>
          <t>Activo</t>
        </is>
      </c>
      <c r="K487" s="3" t="n">
        <v>1</v>
      </c>
      <c r="L487" s="4" t="n">
        <v>33522</v>
      </c>
      <c r="M487" s="3" t="n">
        <v>0.12</v>
      </c>
      <c r="N487" s="3" t="n">
        <v>0.289</v>
      </c>
      <c r="O487" s="4">
        <f>ROUND(L487*K487*(1+M487+N487),2)</f>
        <v/>
      </c>
      <c r="P487" t="inlineStr">
        <is>
          <t>Silvia Navarro</t>
        </is>
      </c>
      <c r="Q487" t="inlineStr">
        <is>
          <t>España</t>
        </is>
      </c>
      <c r="R487" t="inlineStr">
        <is>
          <t>Valencia</t>
        </is>
      </c>
    </row>
    <row r="488">
      <c r="A488" t="inlineStr">
        <is>
          <t>EMP-0487</t>
        </is>
      </c>
      <c r="B488" t="inlineStr">
        <is>
          <t>Marcos</t>
        </is>
      </c>
      <c r="C488" t="inlineStr">
        <is>
          <t>Iglesias</t>
        </is>
      </c>
      <c r="D488" t="inlineStr">
        <is>
          <t>Comercial</t>
        </is>
      </c>
      <c r="E488" t="inlineStr">
        <is>
          <t>Business developer</t>
        </is>
      </c>
      <c r="F488" t="inlineStr">
        <is>
          <t>Anuncios RRHH</t>
        </is>
      </c>
      <c r="G488" t="inlineStr">
        <is>
          <t>Freelance</t>
        </is>
      </c>
      <c r="H488" s="2" t="n">
        <v>43520</v>
      </c>
      <c r="I488" s="2" t="n"/>
      <c r="J488" t="inlineStr">
        <is>
          <t>Activo</t>
        </is>
      </c>
      <c r="K488" s="3" t="n">
        <v>1</v>
      </c>
      <c r="L488" s="4" t="n">
        <v>40057</v>
      </c>
      <c r="M488" s="3" t="n">
        <v>0</v>
      </c>
      <c r="N488" s="3" t="n">
        <v>0.328</v>
      </c>
      <c r="O488" s="4">
        <f>ROUND(L488*K488*(1+M488+N488),2)</f>
        <v/>
      </c>
      <c r="P488" t="inlineStr">
        <is>
          <t>Silvia Navarro</t>
        </is>
      </c>
      <c r="Q488" t="inlineStr">
        <is>
          <t>México</t>
        </is>
      </c>
      <c r="R488" t="inlineStr">
        <is>
          <t>Guadalajara</t>
        </is>
      </c>
    </row>
    <row r="489">
      <c r="A489" t="inlineStr">
        <is>
          <t>EMP-0488</t>
        </is>
      </c>
      <c r="B489" t="inlineStr">
        <is>
          <t>Nuria</t>
        </is>
      </c>
      <c r="C489" t="inlineStr">
        <is>
          <t>Torres</t>
        </is>
      </c>
      <c r="D489" t="inlineStr">
        <is>
          <t>Atención al cliente</t>
        </is>
      </c>
      <c r="E489" t="inlineStr">
        <is>
          <t>Soporte cliente</t>
        </is>
      </c>
      <c r="F489" t="inlineStr">
        <is>
          <t>Anuncios TV</t>
        </is>
      </c>
      <c r="G489" t="inlineStr">
        <is>
          <t>Freelance</t>
        </is>
      </c>
      <c r="H489" s="2" t="n">
        <v>43578</v>
      </c>
      <c r="I489" s="2" t="n"/>
      <c r="J489" t="inlineStr">
        <is>
          <t>Activo</t>
        </is>
      </c>
      <c r="K489" s="3" t="n">
        <v>0.5</v>
      </c>
      <c r="L489" s="4" t="n">
        <v>37712</v>
      </c>
      <c r="M489" s="3" t="n">
        <v>0.03</v>
      </c>
      <c r="N489" s="3" t="n">
        <v>0.299</v>
      </c>
      <c r="O489" s="4">
        <f>ROUND(L489*K489*(1+M489+N489),2)</f>
        <v/>
      </c>
      <c r="P489" t="inlineStr">
        <is>
          <t>Luis Gómez</t>
        </is>
      </c>
      <c r="Q489" t="inlineStr">
        <is>
          <t>México</t>
        </is>
      </c>
      <c r="R489" t="inlineStr">
        <is>
          <t>Ciudad de México</t>
        </is>
      </c>
    </row>
    <row r="490">
      <c r="A490" t="inlineStr">
        <is>
          <t>EMP-0489</t>
        </is>
      </c>
      <c r="B490" t="inlineStr">
        <is>
          <t>Pablo</t>
        </is>
      </c>
      <c r="C490" t="inlineStr">
        <is>
          <t>Castro</t>
        </is>
      </c>
      <c r="D490" t="inlineStr">
        <is>
          <t>Finanzas</t>
        </is>
      </c>
      <c r="E490" t="inlineStr">
        <is>
          <t>Analista financiero</t>
        </is>
      </c>
      <c r="F490" t="inlineStr">
        <is>
          <t>Anuncios TV</t>
        </is>
      </c>
      <c r="G490" t="inlineStr">
        <is>
          <t>Indefinido</t>
        </is>
      </c>
      <c r="H490" s="2" t="n">
        <v>43586</v>
      </c>
      <c r="I490" s="2" t="n"/>
      <c r="J490" t="inlineStr">
        <is>
          <t>Activo</t>
        </is>
      </c>
      <c r="K490" s="3" t="n">
        <v>0.75</v>
      </c>
      <c r="L490" s="4" t="n">
        <v>44545</v>
      </c>
      <c r="M490" s="3" t="n">
        <v>0</v>
      </c>
      <c r="N490" s="3" t="n">
        <v>0.298</v>
      </c>
      <c r="O490" s="4">
        <f>ROUND(L490*K490*(1+M490+N490),2)</f>
        <v/>
      </c>
      <c r="P490" t="inlineStr">
        <is>
          <t>Luis Gómez</t>
        </is>
      </c>
      <c r="Q490" t="inlineStr">
        <is>
          <t>México</t>
        </is>
      </c>
      <c r="R490" t="inlineStr">
        <is>
          <t>Guadalajara</t>
        </is>
      </c>
    </row>
    <row r="491">
      <c r="A491" t="inlineStr">
        <is>
          <t>EMP-0490</t>
        </is>
      </c>
      <c r="B491" t="inlineStr">
        <is>
          <t>Sofía</t>
        </is>
      </c>
      <c r="C491" t="inlineStr">
        <is>
          <t>García</t>
        </is>
      </c>
      <c r="D491" t="inlineStr">
        <is>
          <t>Redacción</t>
        </is>
      </c>
      <c r="E491" t="inlineStr">
        <is>
          <t>Redactor</t>
        </is>
      </c>
      <c r="F491" t="inlineStr">
        <is>
          <t>Anuncios prensa</t>
        </is>
      </c>
      <c r="G491" t="inlineStr">
        <is>
          <t>Temporal</t>
        </is>
      </c>
      <c r="H491" s="2" t="n">
        <v>44867</v>
      </c>
      <c r="I491" s="2" t="n">
        <v>45267</v>
      </c>
      <c r="J491" t="inlineStr">
        <is>
          <t>Baja</t>
        </is>
      </c>
      <c r="K491" s="3" t="n">
        <v>0.5</v>
      </c>
      <c r="L491" s="4" t="n">
        <v>47986</v>
      </c>
      <c r="M491" s="3" t="n">
        <v>0.1</v>
      </c>
      <c r="N491" s="3" t="n">
        <v>0.311</v>
      </c>
      <c r="O491" s="4">
        <f>ROUND(L491*K491*(1+M491+N491),2)</f>
        <v/>
      </c>
      <c r="P491" t="inlineStr">
        <is>
          <t>Fernando Ruiz</t>
        </is>
      </c>
      <c r="Q491" t="inlineStr">
        <is>
          <t>México</t>
        </is>
      </c>
      <c r="R491" t="inlineStr">
        <is>
          <t>Ciudad de México</t>
        </is>
      </c>
    </row>
    <row r="492">
      <c r="A492" t="inlineStr">
        <is>
          <t>EMP-0491</t>
        </is>
      </c>
      <c r="B492" t="inlineStr">
        <is>
          <t>Lucía</t>
        </is>
      </c>
      <c r="C492" t="inlineStr">
        <is>
          <t>Molina</t>
        </is>
      </c>
      <c r="D492" t="inlineStr">
        <is>
          <t>Redacción</t>
        </is>
      </c>
      <c r="E492" t="inlineStr">
        <is>
          <t>Editor</t>
        </is>
      </c>
      <c r="F492" t="inlineStr">
        <is>
          <t>Generación de noticias</t>
        </is>
      </c>
      <c r="G492" t="inlineStr">
        <is>
          <t>Indefinido</t>
        </is>
      </c>
      <c r="H492" s="2" t="n">
        <v>43608</v>
      </c>
      <c r="I492" s="2" t="n"/>
      <c r="J492" t="inlineStr">
        <is>
          <t>Activo</t>
        </is>
      </c>
      <c r="K492" s="3" t="n">
        <v>0.75</v>
      </c>
      <c r="L492" s="4" t="n">
        <v>41254</v>
      </c>
      <c r="M492" s="3" t="n">
        <v>0</v>
      </c>
      <c r="N492" s="3" t="n">
        <v>0.291</v>
      </c>
      <c r="O492" s="4">
        <f>ROUND(L492*K492*(1+M492+N492),2)</f>
        <v/>
      </c>
      <c r="P492" t="inlineStr">
        <is>
          <t>Ana Torres</t>
        </is>
      </c>
      <c r="Q492" t="inlineStr">
        <is>
          <t>España</t>
        </is>
      </c>
      <c r="R492" t="inlineStr">
        <is>
          <t>Valencia</t>
        </is>
      </c>
    </row>
    <row r="493">
      <c r="A493" t="inlineStr">
        <is>
          <t>EMP-0492</t>
        </is>
      </c>
      <c r="B493" t="inlineStr">
        <is>
          <t>Joel</t>
        </is>
      </c>
      <c r="C493" t="inlineStr">
        <is>
          <t>Romero</t>
        </is>
      </c>
      <c r="D493" t="inlineStr">
        <is>
          <t>Redacción</t>
        </is>
      </c>
      <c r="E493" t="inlineStr">
        <is>
          <t>Redactor</t>
        </is>
      </c>
      <c r="F493" t="inlineStr">
        <is>
          <t>Publicación de noticias</t>
        </is>
      </c>
      <c r="G493" t="inlineStr">
        <is>
          <t>Indefinido</t>
        </is>
      </c>
      <c r="H493" s="2" t="n">
        <v>45151</v>
      </c>
      <c r="I493" s="2" t="n"/>
      <c r="J493" t="inlineStr">
        <is>
          <t>Activo</t>
        </is>
      </c>
      <c r="K493" s="3" t="n">
        <v>1</v>
      </c>
      <c r="L493" s="4" t="n">
        <v>29924</v>
      </c>
      <c r="M493" s="3" t="n">
        <v>0.08</v>
      </c>
      <c r="N493" s="3" t="n">
        <v>0.314</v>
      </c>
      <c r="O493" s="4">
        <f>ROUND(L493*K493*(1+M493+N493),2)</f>
        <v/>
      </c>
      <c r="P493" t="inlineStr">
        <is>
          <t>Silvia Navarro</t>
        </is>
      </c>
      <c r="Q493" t="inlineStr">
        <is>
          <t>Colombia</t>
        </is>
      </c>
      <c r="R493" t="inlineStr">
        <is>
          <t>Medellín</t>
        </is>
      </c>
    </row>
    <row r="494">
      <c r="A494" t="inlineStr">
        <is>
          <t>EMP-0493</t>
        </is>
      </c>
      <c r="B494" t="inlineStr">
        <is>
          <t>Claudia</t>
        </is>
      </c>
      <c r="C494" t="inlineStr">
        <is>
          <t>Gómez</t>
        </is>
      </c>
      <c r="D494" t="inlineStr">
        <is>
          <t>Operaciones</t>
        </is>
      </c>
      <c r="E494" t="inlineStr">
        <is>
          <t>Especialista de cuentas</t>
        </is>
      </c>
      <c r="F494" t="inlineStr">
        <is>
          <t>Anuncios TV</t>
        </is>
      </c>
      <c r="G494" t="inlineStr">
        <is>
          <t>Freelance</t>
        </is>
      </c>
      <c r="H494" s="2" t="n">
        <v>45301</v>
      </c>
      <c r="I494" s="2" t="n">
        <v>45683</v>
      </c>
      <c r="J494" t="inlineStr">
        <is>
          <t>Baja</t>
        </is>
      </c>
      <c r="K494" s="3" t="n">
        <v>0.75</v>
      </c>
      <c r="L494" s="4" t="n">
        <v>38521</v>
      </c>
      <c r="M494" s="3" t="n">
        <v>0.12</v>
      </c>
      <c r="N494" s="3" t="n">
        <v>0.322</v>
      </c>
      <c r="O494" s="4">
        <f>ROUND(L494*K494*(1+M494+N494),2)</f>
        <v/>
      </c>
      <c r="P494" t="inlineStr">
        <is>
          <t>Jorge Molina</t>
        </is>
      </c>
      <c r="Q494" t="inlineStr">
        <is>
          <t>España</t>
        </is>
      </c>
      <c r="R494" t="inlineStr">
        <is>
          <t>Barcelona</t>
        </is>
      </c>
    </row>
    <row r="495">
      <c r="A495" t="inlineStr">
        <is>
          <t>EMP-0494</t>
        </is>
      </c>
      <c r="B495" t="inlineStr">
        <is>
          <t>Pablo</t>
        </is>
      </c>
      <c r="C495" t="inlineStr">
        <is>
          <t>Morales</t>
        </is>
      </c>
      <c r="D495" t="inlineStr">
        <is>
          <t>Traducción</t>
        </is>
      </c>
      <c r="E495" t="inlineStr">
        <is>
          <t>Revisor lingüístico</t>
        </is>
      </c>
      <c r="F495" t="inlineStr">
        <is>
          <t>Anuncios internet</t>
        </is>
      </c>
      <c r="G495" t="inlineStr">
        <is>
          <t>Indefinido</t>
        </is>
      </c>
      <c r="H495" s="2" t="n">
        <v>44655</v>
      </c>
      <c r="I495" s="2" t="n"/>
      <c r="J495" t="inlineStr">
        <is>
          <t>Activo</t>
        </is>
      </c>
      <c r="K495" s="3" t="n">
        <v>1</v>
      </c>
      <c r="L495" s="4" t="n">
        <v>29456</v>
      </c>
      <c r="M495" s="3" t="n">
        <v>0.05</v>
      </c>
      <c r="N495" s="3" t="n">
        <v>0.287</v>
      </c>
      <c r="O495" s="4">
        <f>ROUND(L495*K495*(1+M495+N495),2)</f>
        <v/>
      </c>
      <c r="P495" t="inlineStr">
        <is>
          <t>Ana Torres</t>
        </is>
      </c>
      <c r="Q495" t="inlineStr">
        <is>
          <t>Portugal</t>
        </is>
      </c>
      <c r="R495" t="inlineStr">
        <is>
          <t>Lisboa</t>
        </is>
      </c>
    </row>
    <row r="496">
      <c r="A496" t="inlineStr">
        <is>
          <t>EMP-0495</t>
        </is>
      </c>
      <c r="B496" t="inlineStr">
        <is>
          <t>Adrián</t>
        </is>
      </c>
      <c r="C496" t="inlineStr">
        <is>
          <t>Castro</t>
        </is>
      </c>
      <c r="D496" t="inlineStr">
        <is>
          <t>Finanzas</t>
        </is>
      </c>
      <c r="E496" t="inlineStr">
        <is>
          <t>Técnico de facturación</t>
        </is>
      </c>
      <c r="F496" t="inlineStr">
        <is>
          <t>Traducciones</t>
        </is>
      </c>
      <c r="G496" t="inlineStr">
        <is>
          <t>Indefinido</t>
        </is>
      </c>
      <c r="H496" s="2" t="n">
        <v>43267</v>
      </c>
      <c r="I496" s="2" t="n"/>
      <c r="J496" t="inlineStr">
        <is>
          <t>Activo</t>
        </is>
      </c>
      <c r="K496" s="3" t="n">
        <v>1</v>
      </c>
      <c r="L496" s="4" t="n">
        <v>25791</v>
      </c>
      <c r="M496" s="3" t="n">
        <v>0.05</v>
      </c>
      <c r="N496" s="3" t="n">
        <v>0.297</v>
      </c>
      <c r="O496" s="4">
        <f>ROUND(L496*K496*(1+M496+N496),2)</f>
        <v/>
      </c>
      <c r="P496" t="inlineStr">
        <is>
          <t>Jorge Molina</t>
        </is>
      </c>
      <c r="Q496" t="inlineStr">
        <is>
          <t>España</t>
        </is>
      </c>
      <c r="R496" t="inlineStr">
        <is>
          <t>Sevilla</t>
        </is>
      </c>
    </row>
    <row r="497">
      <c r="A497" t="inlineStr">
        <is>
          <t>EMP-0496</t>
        </is>
      </c>
      <c r="B497" t="inlineStr">
        <is>
          <t>Claudia</t>
        </is>
      </c>
      <c r="C497" t="inlineStr">
        <is>
          <t>Marín</t>
        </is>
      </c>
      <c r="D497" t="inlineStr">
        <is>
          <t>Comercial</t>
        </is>
      </c>
      <c r="E497" t="inlineStr">
        <is>
          <t>Business developer</t>
        </is>
      </c>
      <c r="F497" t="inlineStr">
        <is>
          <t>Anuncios internet</t>
        </is>
      </c>
      <c r="G497" t="inlineStr">
        <is>
          <t>Indefinido</t>
        </is>
      </c>
      <c r="H497" s="2" t="n">
        <v>43386</v>
      </c>
      <c r="I497" s="2" t="n"/>
      <c r="J497" t="inlineStr">
        <is>
          <t>Activo</t>
        </is>
      </c>
      <c r="K497" s="3" t="n">
        <v>1</v>
      </c>
      <c r="L497" s="4" t="n">
        <v>51263</v>
      </c>
      <c r="M497" s="3" t="n">
        <v>0</v>
      </c>
      <c r="N497" s="3" t="n">
        <v>0.281</v>
      </c>
      <c r="O497" s="4">
        <f>ROUND(L497*K497*(1+M497+N497),2)</f>
        <v/>
      </c>
      <c r="P497" t="inlineStr">
        <is>
          <t>Fernando Ruiz</t>
        </is>
      </c>
      <c r="Q497" t="inlineStr">
        <is>
          <t>España</t>
        </is>
      </c>
      <c r="R497" t="inlineStr">
        <is>
          <t>Sevilla</t>
        </is>
      </c>
    </row>
    <row r="498">
      <c r="A498" t="inlineStr">
        <is>
          <t>EMP-0497</t>
        </is>
      </c>
      <c r="B498" t="inlineStr">
        <is>
          <t>Álvaro</t>
        </is>
      </c>
      <c r="C498" t="inlineStr">
        <is>
          <t>Pérez</t>
        </is>
      </c>
      <c r="D498" t="inlineStr">
        <is>
          <t>Redacción</t>
        </is>
      </c>
      <c r="E498" t="inlineStr">
        <is>
          <t>Editor</t>
        </is>
      </c>
      <c r="F498" t="inlineStr">
        <is>
          <t>Anuncios prensa</t>
        </is>
      </c>
      <c r="G498" t="inlineStr">
        <is>
          <t>Indefinido</t>
        </is>
      </c>
      <c r="H498" s="2" t="n">
        <v>45519</v>
      </c>
      <c r="I498" s="2" t="n"/>
      <c r="J498" t="inlineStr">
        <is>
          <t>Activo</t>
        </is>
      </c>
      <c r="K498" s="3" t="n">
        <v>0.75</v>
      </c>
      <c r="L498" s="4" t="n">
        <v>24120</v>
      </c>
      <c r="M498" s="3" t="n">
        <v>0.03</v>
      </c>
      <c r="N498" s="3" t="n">
        <v>0.339</v>
      </c>
      <c r="O498" s="4">
        <f>ROUND(L498*K498*(1+M498+N498),2)</f>
        <v/>
      </c>
      <c r="P498" t="inlineStr">
        <is>
          <t>Luis Gómez</t>
        </is>
      </c>
      <c r="Q498" t="inlineStr">
        <is>
          <t>España</t>
        </is>
      </c>
      <c r="R498" t="inlineStr">
        <is>
          <t>Madrid</t>
        </is>
      </c>
    </row>
    <row r="499">
      <c r="A499" t="inlineStr">
        <is>
          <t>EMP-0498</t>
        </is>
      </c>
      <c r="B499" t="inlineStr">
        <is>
          <t>Iván</t>
        </is>
      </c>
      <c r="C499" t="inlineStr">
        <is>
          <t>Díaz</t>
        </is>
      </c>
      <c r="D499" t="inlineStr">
        <is>
          <t>RRHH</t>
        </is>
      </c>
      <c r="E499" t="inlineStr">
        <is>
          <t>Recruitment marketer</t>
        </is>
      </c>
      <c r="F499" t="inlineStr">
        <is>
          <t>Traducciones</t>
        </is>
      </c>
      <c r="G499" t="inlineStr">
        <is>
          <t>Temporal</t>
        </is>
      </c>
      <c r="H499" s="2" t="n">
        <v>45484</v>
      </c>
      <c r="I499" s="2" t="n"/>
      <c r="J499" t="inlineStr">
        <is>
          <t>Activo</t>
        </is>
      </c>
      <c r="K499" s="3" t="n">
        <v>1</v>
      </c>
      <c r="L499" s="4" t="n">
        <v>33668</v>
      </c>
      <c r="M499" s="3" t="n">
        <v>0.05</v>
      </c>
      <c r="N499" s="3" t="n">
        <v>0.32</v>
      </c>
      <c r="O499" s="4">
        <f>ROUND(L499*K499*(1+M499+N499),2)</f>
        <v/>
      </c>
      <c r="P499" t="inlineStr">
        <is>
          <t>Fernando Ruiz</t>
        </is>
      </c>
      <c r="Q499" t="inlineStr">
        <is>
          <t>España</t>
        </is>
      </c>
      <c r="R499" t="inlineStr">
        <is>
          <t>Sevilla</t>
        </is>
      </c>
    </row>
    <row r="500">
      <c r="A500" t="inlineStr">
        <is>
          <t>EMP-0499</t>
        </is>
      </c>
      <c r="B500" t="inlineStr">
        <is>
          <t>Paula</t>
        </is>
      </c>
      <c r="C500" t="inlineStr">
        <is>
          <t>Sánchez</t>
        </is>
      </c>
      <c r="D500" t="inlineStr">
        <is>
          <t>Atención al cliente</t>
        </is>
      </c>
      <c r="E500" t="inlineStr">
        <is>
          <t>Customer success</t>
        </is>
      </c>
      <c r="F500" t="inlineStr">
        <is>
          <t>Generación de noticias</t>
        </is>
      </c>
      <c r="G500" t="inlineStr">
        <is>
          <t>Indefinido</t>
        </is>
      </c>
      <c r="H500" s="2" t="n">
        <v>45137</v>
      </c>
      <c r="I500" s="2" t="n"/>
      <c r="J500" t="inlineStr">
        <is>
          <t>Activo</t>
        </is>
      </c>
      <c r="K500" s="3" t="n">
        <v>0.75</v>
      </c>
      <c r="L500" s="4" t="n">
        <v>22973</v>
      </c>
      <c r="M500" s="3" t="n">
        <v>0</v>
      </c>
      <c r="N500" s="3" t="n">
        <v>0.324</v>
      </c>
      <c r="O500" s="4">
        <f>ROUND(L500*K500*(1+M500+N500),2)</f>
        <v/>
      </c>
      <c r="P500" t="inlineStr">
        <is>
          <t>Fernando Ruiz</t>
        </is>
      </c>
      <c r="Q500" t="inlineStr">
        <is>
          <t>España</t>
        </is>
      </c>
      <c r="R500" t="inlineStr">
        <is>
          <t>Sevilla</t>
        </is>
      </c>
    </row>
    <row r="501">
      <c r="A501" t="inlineStr">
        <is>
          <t>EMP-0500</t>
        </is>
      </c>
      <c r="B501" t="inlineStr">
        <is>
          <t>Diego</t>
        </is>
      </c>
      <c r="C501" t="inlineStr">
        <is>
          <t>Moreno</t>
        </is>
      </c>
      <c r="D501" t="inlineStr">
        <is>
          <t>Operaciones</t>
        </is>
      </c>
      <c r="E501" t="inlineStr">
        <is>
          <t>Coordinador de operaciones</t>
        </is>
      </c>
      <c r="F501" t="inlineStr">
        <is>
          <t>Publicación de noticias</t>
        </is>
      </c>
      <c r="G501" t="inlineStr">
        <is>
          <t>Indefinido</t>
        </is>
      </c>
      <c r="H501" s="2" t="n">
        <v>43495</v>
      </c>
      <c r="I501" s="2" t="n"/>
      <c r="J501" t="inlineStr">
        <is>
          <t>Activo</t>
        </is>
      </c>
      <c r="K501" s="3" t="n">
        <v>1</v>
      </c>
      <c r="L501" s="4" t="n">
        <v>47151</v>
      </c>
      <c r="M501" s="3" t="n">
        <v>0.05</v>
      </c>
      <c r="N501" s="3" t="n">
        <v>0.328</v>
      </c>
      <c r="O501" s="4">
        <f>ROUND(L501*K501*(1+M501+N501),2)</f>
        <v/>
      </c>
      <c r="P501" t="inlineStr">
        <is>
          <t>Patricia Romero</t>
        </is>
      </c>
      <c r="Q501" t="inlineStr">
        <is>
          <t>España</t>
        </is>
      </c>
      <c r="R501" t="inlineStr">
        <is>
          <t>Valencia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24" customWidth="1" min="6" max="6"/>
    <col width="16" customWidth="1" min="7" max="7"/>
    <col width="28" customWidth="1" min="8" max="8"/>
    <col width="18" customWidth="1" min="9" max="9"/>
    <col width="10" customWidth="1" min="10" max="10"/>
    <col width="18" customWidth="1" min="11" max="11"/>
    <col width="14" customWidth="1" min="12" max="12"/>
    <col width="16" customWidth="1" min="13" max="13"/>
    <col width="20" customWidth="1" min="14" max="14"/>
  </cols>
  <sheetData>
    <row r="1" ht="22" customHeight="1">
      <c r="A1" s="1" t="inlineStr">
        <is>
          <t>Gasto_ID</t>
        </is>
      </c>
      <c r="B1" s="1" t="inlineStr">
        <is>
          <t>Fecha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Proveedor</t>
        </is>
      </c>
      <c r="F1" s="1" t="inlineStr">
        <is>
          <t>Servicio_Asociado</t>
        </is>
      </c>
      <c r="G1" s="1" t="inlineStr">
        <is>
          <t>Canal</t>
        </is>
      </c>
      <c r="H1" s="1" t="inlineStr">
        <is>
          <t>Descripcion</t>
        </is>
      </c>
      <c r="I1" s="1" t="inlineStr">
        <is>
          <t>Importe_Sin_IVA_EUR</t>
        </is>
      </c>
      <c r="J1" s="1" t="inlineStr">
        <is>
          <t>IVA_pct</t>
        </is>
      </c>
      <c r="K1" s="1" t="inlineStr">
        <is>
          <t>Importe_Total_EUR</t>
        </is>
      </c>
      <c r="L1" s="1" t="inlineStr">
        <is>
          <t>Tipo_Gasto</t>
        </is>
      </c>
      <c r="M1" s="1" t="inlineStr">
        <is>
          <t>Centro_Coste</t>
        </is>
      </c>
      <c r="N1" s="1" t="inlineStr">
        <is>
          <t>Proyecto</t>
        </is>
      </c>
    </row>
    <row r="2">
      <c r="A2" t="inlineStr">
        <is>
          <t>GAS-0001</t>
        </is>
      </c>
      <c r="B2" s="2" t="n">
        <v>45308</v>
      </c>
      <c r="C2" t="inlineStr">
        <is>
          <t>Marketing</t>
        </is>
      </c>
      <c r="D2" t="inlineStr">
        <is>
          <t>Producción TV</t>
        </is>
      </c>
      <c r="E2" t="inlineStr">
        <is>
          <t>TVSpot Studio</t>
        </is>
      </c>
      <c r="F2" t="inlineStr">
        <is>
          <t>Anuncios TV</t>
        </is>
      </c>
      <c r="G2" t="inlineStr">
        <is>
          <t>Suscripción mensual</t>
        </is>
      </c>
      <c r="H2" t="inlineStr">
        <is>
          <t>Producción TV para anuncios tv</t>
        </is>
      </c>
      <c r="I2" s="5" t="n">
        <v>10358.17</v>
      </c>
      <c r="J2" s="3" t="n">
        <v>0.21</v>
      </c>
      <c r="K2" s="5">
        <f>ROUND(I2*(1+J2),2)</f>
        <v/>
      </c>
      <c r="L2" t="inlineStr">
        <is>
          <t>Variable</t>
        </is>
      </c>
      <c r="M2" t="inlineStr">
        <is>
          <t>Tecnología</t>
        </is>
      </c>
      <c r="N2" t="inlineStr">
        <is>
          <t>Microsite RRHH</t>
        </is>
      </c>
    </row>
    <row r="3">
      <c r="A3" t="inlineStr">
        <is>
          <t>GAS-0002</t>
        </is>
      </c>
      <c r="B3" s="2" t="n">
        <v>45512</v>
      </c>
      <c r="C3" t="inlineStr">
        <is>
          <t>Tecnología</t>
        </is>
      </c>
      <c r="D3" t="inlineStr">
        <is>
          <t>Hosting</t>
        </is>
      </c>
      <c r="E3" t="inlineStr">
        <is>
          <t>MediaCloud</t>
        </is>
      </c>
      <c r="F3" t="inlineStr">
        <is>
          <t>Mantenimiento web</t>
        </is>
      </c>
      <c r="G3" t="inlineStr">
        <is>
          <t>Retainer trimestral</t>
        </is>
      </c>
      <c r="H3" t="inlineStr">
        <is>
          <t>Hosting para mantenimiento web</t>
        </is>
      </c>
      <c r="I3" s="5" t="n">
        <v>1609.83</v>
      </c>
      <c r="J3" s="3" t="n">
        <v>0.21</v>
      </c>
      <c r="K3" s="5">
        <f>ROUND(I3*(1+J3),2)</f>
        <v/>
      </c>
      <c r="L3" t="inlineStr">
        <is>
          <t>Variable</t>
        </is>
      </c>
      <c r="M3" t="inlineStr">
        <is>
          <t>Operaciones</t>
        </is>
      </c>
      <c r="N3" t="inlineStr">
        <is>
          <t>Intranet operaciones</t>
        </is>
      </c>
    </row>
    <row r="4">
      <c r="A4" t="inlineStr">
        <is>
          <t>GAS-0003</t>
        </is>
      </c>
      <c r="B4" s="2" t="n">
        <v>45485</v>
      </c>
      <c r="C4" t="inlineStr">
        <is>
          <t>Marketing</t>
        </is>
      </c>
      <c r="D4" t="inlineStr">
        <is>
          <t>Diseño creativo</t>
        </is>
      </c>
      <c r="E4" t="inlineStr">
        <is>
          <t>CloudPulse</t>
        </is>
      </c>
      <c r="F4" t="inlineStr">
        <is>
          <t>Anuncios internet</t>
        </is>
      </c>
      <c r="G4" t="inlineStr">
        <is>
          <t>Retainer trimestral</t>
        </is>
      </c>
      <c r="H4" t="inlineStr">
        <is>
          <t>Diseño creativo para anuncios internet</t>
        </is>
      </c>
      <c r="I4" s="5" t="n">
        <v>6228.22</v>
      </c>
      <c r="J4" s="3" t="n">
        <v>0.21</v>
      </c>
      <c r="K4" s="5">
        <f>ROUND(I4*(1+J4),2)</f>
        <v/>
      </c>
      <c r="L4" t="inlineStr">
        <is>
          <t>Variable</t>
        </is>
      </c>
      <c r="M4" t="inlineStr">
        <is>
          <t>Operaciones</t>
        </is>
      </c>
      <c r="N4" t="inlineStr">
        <is>
          <t>Portal corporativo</t>
        </is>
      </c>
    </row>
    <row r="5">
      <c r="A5" t="inlineStr">
        <is>
          <t>GAS-0004</t>
        </is>
      </c>
      <c r="B5" s="2" t="n">
        <v>45341</v>
      </c>
      <c r="C5" t="inlineStr">
        <is>
          <t>Tecnología</t>
        </is>
      </c>
      <c r="D5" t="inlineStr">
        <is>
          <t>Licencias CMS</t>
        </is>
      </c>
      <c r="E5" t="inlineStr">
        <is>
          <t>TVSpot Studio</t>
        </is>
      </c>
      <c r="F5" t="inlineStr">
        <is>
          <t>Anuncios RRHH</t>
        </is>
      </c>
      <c r="G5" t="inlineStr">
        <is>
          <t>Retainer trimestral</t>
        </is>
      </c>
      <c r="H5" t="inlineStr">
        <is>
          <t>Licencias CMS para anuncios rrhh</t>
        </is>
      </c>
      <c r="I5" s="5" t="n">
        <v>1801.57</v>
      </c>
      <c r="J5" s="3" t="n">
        <v>0.21</v>
      </c>
      <c r="K5" s="5">
        <f>ROUND(I5*(1+J5),2)</f>
        <v/>
      </c>
      <c r="L5" t="inlineStr">
        <is>
          <t>Variable</t>
        </is>
      </c>
      <c r="M5" t="inlineStr">
        <is>
          <t>Tecnología</t>
        </is>
      </c>
      <c r="N5" t="inlineStr">
        <is>
          <t>Portal corporativo</t>
        </is>
      </c>
    </row>
    <row r="6">
      <c r="A6" t="inlineStr">
        <is>
          <t>GAS-0005</t>
        </is>
      </c>
      <c r="B6" s="2" t="n">
        <v>45464</v>
      </c>
      <c r="C6" t="inlineStr">
        <is>
          <t>Marketing</t>
        </is>
      </c>
      <c r="D6" t="inlineStr">
        <is>
          <t>Ads Google</t>
        </is>
      </c>
      <c r="E6" t="inlineStr">
        <is>
          <t>MediaCloud</t>
        </is>
      </c>
      <c r="F6" t="inlineStr">
        <is>
          <t>Mantenimiento intranets</t>
        </is>
      </c>
      <c r="G6" t="inlineStr">
        <is>
          <t>Suscripción mensual</t>
        </is>
      </c>
      <c r="H6" t="inlineStr">
        <is>
          <t>Ads Google para mantenimiento intranets</t>
        </is>
      </c>
      <c r="I6" s="5" t="n">
        <v>10951.55</v>
      </c>
      <c r="J6" s="3" t="n">
        <v>0.1</v>
      </c>
      <c r="K6" s="5">
        <f>ROUND(I6*(1+J6),2)</f>
        <v/>
      </c>
      <c r="L6" t="inlineStr">
        <is>
          <t>Variable</t>
        </is>
      </c>
      <c r="M6" t="inlineStr">
        <is>
          <t>Operaciones</t>
        </is>
      </c>
      <c r="N6" t="inlineStr">
        <is>
          <t>Intranet operaciones</t>
        </is>
      </c>
    </row>
    <row r="7">
      <c r="A7" t="inlineStr">
        <is>
          <t>GAS-0006</t>
        </is>
      </c>
      <c r="B7" s="2" t="n">
        <v>45485</v>
      </c>
      <c r="C7" t="inlineStr">
        <is>
          <t>Marketing</t>
        </is>
      </c>
      <c r="D7" t="inlineStr">
        <is>
          <t>Producción TV</t>
        </is>
      </c>
      <c r="E7" t="inlineStr">
        <is>
          <t>CloudPulse</t>
        </is>
      </c>
      <c r="F7" t="inlineStr">
        <is>
          <t>Anuncios TV</t>
        </is>
      </c>
      <c r="G7" t="inlineStr">
        <is>
          <t>Campaña</t>
        </is>
      </c>
      <c r="H7" t="inlineStr">
        <is>
          <t>Producción TV para anuncios tv</t>
        </is>
      </c>
      <c r="I7" s="5" t="n">
        <v>8442.709999999999</v>
      </c>
      <c r="J7" s="3" t="n">
        <v>0.21</v>
      </c>
      <c r="K7" s="5">
        <f>ROUND(I7*(1+J7),2)</f>
        <v/>
      </c>
      <c r="L7" t="inlineStr">
        <is>
          <t>Fijo</t>
        </is>
      </c>
      <c r="M7" t="inlineStr">
        <is>
          <t>Marketing</t>
        </is>
      </c>
      <c r="N7" t="inlineStr">
        <is>
          <t>Intranet comercial</t>
        </is>
      </c>
    </row>
    <row r="8">
      <c r="A8" t="inlineStr">
        <is>
          <t>GAS-0007</t>
        </is>
      </c>
      <c r="B8" s="2" t="n">
        <v>45515</v>
      </c>
      <c r="C8" t="inlineStr">
        <is>
          <t>Marketing</t>
        </is>
      </c>
      <c r="D8" t="inlineStr">
        <is>
          <t>Ads Google</t>
        </is>
      </c>
      <c r="E8" t="inlineStr">
        <is>
          <t>NoticiasPro</t>
        </is>
      </c>
      <c r="F8" t="inlineStr">
        <is>
          <t>Anuncios RRHH</t>
        </is>
      </c>
      <c r="G8" t="inlineStr">
        <is>
          <t>Campaña</t>
        </is>
      </c>
      <c r="H8" t="inlineStr">
        <is>
          <t>Ads Google para anuncios rrhh</t>
        </is>
      </c>
      <c r="I8" s="5" t="n">
        <v>8108.43</v>
      </c>
      <c r="J8" s="3" t="n">
        <v>0</v>
      </c>
      <c r="K8" s="5">
        <f>ROUND(I8*(1+J8),2)</f>
        <v/>
      </c>
      <c r="L8" t="inlineStr">
        <is>
          <t>Fijo</t>
        </is>
      </c>
      <c r="M8" t="inlineStr">
        <is>
          <t>Tecnología</t>
        </is>
      </c>
      <c r="N8" t="inlineStr">
        <is>
          <t>Centro de prensa</t>
        </is>
      </c>
    </row>
    <row r="9">
      <c r="A9" t="inlineStr">
        <is>
          <t>GAS-0008</t>
        </is>
      </c>
      <c r="B9" s="2" t="n">
        <v>45595</v>
      </c>
      <c r="C9" t="inlineStr">
        <is>
          <t>Personal</t>
        </is>
      </c>
      <c r="D9" t="inlineStr">
        <is>
          <t>Formación</t>
        </is>
      </c>
      <c r="E9" t="inlineStr">
        <is>
          <t>AdVision</t>
        </is>
      </c>
      <c r="F9" t="inlineStr">
        <is>
          <t>Anuncios prensa</t>
        </is>
      </c>
      <c r="G9" t="inlineStr">
        <is>
          <t>Retainer trimestral</t>
        </is>
      </c>
      <c r="H9" t="inlineStr">
        <is>
          <t>Formación para anuncios prensa</t>
        </is>
      </c>
      <c r="I9" s="5" t="n">
        <v>7073.6</v>
      </c>
      <c r="J9" s="3" t="n">
        <v>0</v>
      </c>
      <c r="K9" s="5">
        <f>ROUND(I9*(1+J9),2)</f>
        <v/>
      </c>
      <c r="L9" t="inlineStr">
        <is>
          <t>Variable</t>
        </is>
      </c>
      <c r="M9" t="inlineStr">
        <is>
          <t>Marketing</t>
        </is>
      </c>
      <c r="N9" t="inlineStr">
        <is>
          <t>Campaña empleo</t>
        </is>
      </c>
    </row>
    <row r="10">
      <c r="A10" t="inlineStr">
        <is>
          <t>GAS-0009</t>
        </is>
      </c>
      <c r="B10" s="2" t="n">
        <v>45420</v>
      </c>
      <c r="C10" t="inlineStr">
        <is>
          <t>Personal</t>
        </is>
      </c>
      <c r="D10" t="inlineStr">
        <is>
          <t>Salarios</t>
        </is>
      </c>
      <c r="E10" t="inlineStr">
        <is>
          <t>CloudPulse</t>
        </is>
      </c>
      <c r="F10" t="inlineStr">
        <is>
          <t>Generación de noticias</t>
        </is>
      </c>
      <c r="G10" t="inlineStr">
        <is>
          <t>Soporte anual</t>
        </is>
      </c>
      <c r="H10" t="inlineStr">
        <is>
          <t>Salarios para generación de noticias</t>
        </is>
      </c>
      <c r="I10" s="5" t="n">
        <v>4883.87</v>
      </c>
      <c r="J10" s="3" t="n">
        <v>0.21</v>
      </c>
      <c r="K10" s="5">
        <f>ROUND(I10*(1+J10),2)</f>
        <v/>
      </c>
      <c r="L10" t="inlineStr">
        <is>
          <t>Fijo</t>
        </is>
      </c>
      <c r="M10" t="inlineStr">
        <is>
          <t>Operaciones</t>
        </is>
      </c>
      <c r="N10" t="inlineStr">
        <is>
          <t>Sección noticias</t>
        </is>
      </c>
    </row>
    <row r="11">
      <c r="A11" t="inlineStr">
        <is>
          <t>GAS-0010</t>
        </is>
      </c>
      <c r="B11" s="2" t="n">
        <v>45581</v>
      </c>
      <c r="C11" t="inlineStr">
        <is>
          <t>Tecnología</t>
        </is>
      </c>
      <c r="D11" t="inlineStr">
        <is>
          <t>Licencias CMS</t>
        </is>
      </c>
      <c r="E11" t="inlineStr">
        <is>
          <t>Redacción Global</t>
        </is>
      </c>
      <c r="F11" t="inlineStr">
        <is>
          <t>Anuncios internet</t>
        </is>
      </c>
      <c r="G11" t="inlineStr">
        <is>
          <t>Suscripción mensual</t>
        </is>
      </c>
      <c r="H11" t="inlineStr">
        <is>
          <t>Licencias CMS para anuncios internet</t>
        </is>
      </c>
      <c r="I11" s="5" t="n">
        <v>1559.99</v>
      </c>
      <c r="J11" s="3" t="n">
        <v>0.1</v>
      </c>
      <c r="K11" s="5">
        <f>ROUND(I11*(1+J11),2)</f>
        <v/>
      </c>
      <c r="L11" t="inlineStr">
        <is>
          <t>Fijo</t>
        </is>
      </c>
      <c r="M11" t="inlineStr">
        <is>
          <t>Tecnología</t>
        </is>
      </c>
      <c r="N11" t="inlineStr">
        <is>
          <t>Intranet operaciones</t>
        </is>
      </c>
    </row>
    <row r="12">
      <c r="A12" t="inlineStr">
        <is>
          <t>GAS-0011</t>
        </is>
      </c>
      <c r="B12" s="2" t="n">
        <v>45725</v>
      </c>
      <c r="C12" t="inlineStr">
        <is>
          <t>Personal</t>
        </is>
      </c>
      <c r="D12" t="inlineStr">
        <is>
          <t>Salarios</t>
        </is>
      </c>
      <c r="E12" t="inlineStr">
        <is>
          <t>TVSpot Studio</t>
        </is>
      </c>
      <c r="F12" t="inlineStr">
        <is>
          <t>Generación de noticias</t>
        </is>
      </c>
      <c r="G12" t="inlineStr">
        <is>
          <t>Retainer trimestral</t>
        </is>
      </c>
      <c r="H12" t="inlineStr">
        <is>
          <t>Salarios para generación de noticias</t>
        </is>
      </c>
      <c r="I12" s="5" t="n">
        <v>7362.09</v>
      </c>
      <c r="J12" s="3" t="n">
        <v>0.21</v>
      </c>
      <c r="K12" s="5">
        <f>ROUND(I12*(1+J12),2)</f>
        <v/>
      </c>
      <c r="L12" t="inlineStr">
        <is>
          <t>Fijo</t>
        </is>
      </c>
      <c r="M12" t="inlineStr">
        <is>
          <t>Tecnología</t>
        </is>
      </c>
      <c r="N12" t="inlineStr">
        <is>
          <t>Campaña empleo</t>
        </is>
      </c>
    </row>
    <row r="13">
      <c r="A13" t="inlineStr">
        <is>
          <t>GAS-0012</t>
        </is>
      </c>
      <c r="B13" s="2" t="n">
        <v>45515</v>
      </c>
      <c r="C13" t="inlineStr">
        <is>
          <t>Tecnología</t>
        </is>
      </c>
      <c r="D13" t="inlineStr">
        <is>
          <t>Hosting</t>
        </is>
      </c>
      <c r="E13" t="inlineStr">
        <is>
          <t>TVSpot Studio</t>
        </is>
      </c>
      <c r="F13" t="inlineStr">
        <is>
          <t>Publicación de noticias</t>
        </is>
      </c>
      <c r="G13" t="inlineStr">
        <is>
          <t>Suscripción mensual</t>
        </is>
      </c>
      <c r="H13" t="inlineStr">
        <is>
          <t>Hosting para publicación de noticias</t>
        </is>
      </c>
      <c r="I13" s="5" t="n">
        <v>649.76</v>
      </c>
      <c r="J13" s="3" t="n">
        <v>0.21</v>
      </c>
      <c r="K13" s="5">
        <f>ROUND(I13*(1+J13),2)</f>
        <v/>
      </c>
      <c r="L13" t="inlineStr">
        <is>
          <t>Fijo</t>
        </is>
      </c>
      <c r="M13" t="inlineStr">
        <is>
          <t>Tecnología</t>
        </is>
      </c>
      <c r="N13" t="inlineStr">
        <is>
          <t>Sección noticias</t>
        </is>
      </c>
    </row>
    <row r="14">
      <c r="A14" t="inlineStr">
        <is>
          <t>GAS-0013</t>
        </is>
      </c>
      <c r="B14" s="2" t="n">
        <v>45732</v>
      </c>
      <c r="C14" t="inlineStr">
        <is>
          <t>Personal</t>
        </is>
      </c>
      <c r="D14" t="inlineStr">
        <is>
          <t>Seguridad Social</t>
        </is>
      </c>
      <c r="E14" t="inlineStr">
        <is>
          <t>LinguaTech</t>
        </is>
      </c>
      <c r="F14" t="inlineStr">
        <is>
          <t>Anuncios TV</t>
        </is>
      </c>
      <c r="G14" t="inlineStr">
        <is>
          <t>Retainer trimestral</t>
        </is>
      </c>
      <c r="H14" t="inlineStr">
        <is>
          <t>Seguridad Social para anuncios tv</t>
        </is>
      </c>
      <c r="I14" s="5" t="n">
        <v>2484.69</v>
      </c>
      <c r="J14" s="3" t="n">
        <v>0.1</v>
      </c>
      <c r="K14" s="5">
        <f>ROUND(I14*(1+J14),2)</f>
        <v/>
      </c>
      <c r="L14" t="inlineStr">
        <is>
          <t>Variable</t>
        </is>
      </c>
      <c r="M14" t="inlineStr">
        <is>
          <t>Operaciones</t>
        </is>
      </c>
      <c r="N14" t="inlineStr">
        <is>
          <t>Microsite RRHH</t>
        </is>
      </c>
    </row>
    <row r="15">
      <c r="A15" t="inlineStr">
        <is>
          <t>GAS-0014</t>
        </is>
      </c>
      <c r="B15" s="2" t="n">
        <v>45353</v>
      </c>
      <c r="C15" t="inlineStr">
        <is>
          <t>Operaciones</t>
        </is>
      </c>
      <c r="D15" t="inlineStr">
        <is>
          <t>Freelancers</t>
        </is>
      </c>
      <c r="E15" t="inlineStr">
        <is>
          <t>NominaPlus</t>
        </is>
      </c>
      <c r="F15" t="inlineStr">
        <is>
          <t>Anuncios prensa</t>
        </is>
      </c>
      <c r="G15" t="inlineStr">
        <is>
          <t>Soporte anual</t>
        </is>
      </c>
      <c r="H15" t="inlineStr">
        <is>
          <t>Freelancers para anuncios prensa</t>
        </is>
      </c>
      <c r="I15" s="5" t="n">
        <v>804.8</v>
      </c>
      <c r="J15" s="3" t="n">
        <v>0.1</v>
      </c>
      <c r="K15" s="5">
        <f>ROUND(I15*(1+J15),2)</f>
        <v/>
      </c>
      <c r="L15" t="inlineStr">
        <is>
          <t>Variable</t>
        </is>
      </c>
      <c r="M15" t="inlineStr">
        <is>
          <t>Marketing</t>
        </is>
      </c>
      <c r="N15" t="inlineStr">
        <is>
          <t>Intranet comercial</t>
        </is>
      </c>
    </row>
    <row r="16">
      <c r="A16" t="inlineStr">
        <is>
          <t>GAS-0015</t>
        </is>
      </c>
      <c r="B16" s="2" t="n">
        <v>45508</v>
      </c>
      <c r="C16" t="inlineStr">
        <is>
          <t>Personal</t>
        </is>
      </c>
      <c r="D16" t="inlineStr">
        <is>
          <t>Salarios</t>
        </is>
      </c>
      <c r="E16" t="inlineStr">
        <is>
          <t>NoticiasPro</t>
        </is>
      </c>
      <c r="F16" t="inlineStr">
        <is>
          <t>Anuncios RRHH</t>
        </is>
      </c>
      <c r="G16" t="inlineStr">
        <is>
          <t>Proyecto puntual</t>
        </is>
      </c>
      <c r="H16" t="inlineStr">
        <is>
          <t>Salarios para anuncios rrhh</t>
        </is>
      </c>
      <c r="I16" s="5" t="n">
        <v>3603.79</v>
      </c>
      <c r="J16" s="3" t="n">
        <v>0</v>
      </c>
      <c r="K16" s="5">
        <f>ROUND(I16*(1+J16),2)</f>
        <v/>
      </c>
      <c r="L16" t="inlineStr">
        <is>
          <t>Fijo</t>
        </is>
      </c>
      <c r="M16" t="inlineStr">
        <is>
          <t>Comercial</t>
        </is>
      </c>
      <c r="N16" t="inlineStr">
        <is>
          <t>Centro de prensa</t>
        </is>
      </c>
    </row>
    <row r="17">
      <c r="A17" t="inlineStr">
        <is>
          <t>GAS-0016</t>
        </is>
      </c>
      <c r="B17" s="2" t="n">
        <v>45641</v>
      </c>
      <c r="C17" t="inlineStr">
        <is>
          <t>Tecnología</t>
        </is>
      </c>
      <c r="D17" t="inlineStr">
        <is>
          <t>Herramientas SEO</t>
        </is>
      </c>
      <c r="E17" t="inlineStr">
        <is>
          <t>NoticiasPro</t>
        </is>
      </c>
      <c r="F17" t="inlineStr">
        <is>
          <t>Mantenimiento web</t>
        </is>
      </c>
      <c r="G17" t="inlineStr">
        <is>
          <t>Retainer trimestral</t>
        </is>
      </c>
      <c r="H17" t="inlineStr">
        <is>
          <t>Herramientas SEO para mantenimiento web</t>
        </is>
      </c>
      <c r="I17" s="5" t="n">
        <v>949.3200000000001</v>
      </c>
      <c r="J17" s="3" t="n">
        <v>0.21</v>
      </c>
      <c r="K17" s="5">
        <f>ROUND(I17*(1+J17),2)</f>
        <v/>
      </c>
      <c r="L17" t="inlineStr">
        <is>
          <t>Variable</t>
        </is>
      </c>
      <c r="M17" t="inlineStr">
        <is>
          <t>Marketing</t>
        </is>
      </c>
      <c r="N17" t="inlineStr">
        <is>
          <t>Portal internacional</t>
        </is>
      </c>
    </row>
    <row r="18">
      <c r="A18" t="inlineStr">
        <is>
          <t>GAS-0017</t>
        </is>
      </c>
      <c r="B18" s="2" t="n">
        <v>45414</v>
      </c>
      <c r="C18" t="inlineStr">
        <is>
          <t>Operaciones</t>
        </is>
      </c>
      <c r="D18" t="inlineStr">
        <is>
          <t>Freelancers</t>
        </is>
      </c>
      <c r="E18" t="inlineStr">
        <is>
          <t>IntraSys</t>
        </is>
      </c>
      <c r="F18" t="inlineStr">
        <is>
          <t>Mantenimiento web</t>
        </is>
      </c>
      <c r="G18" t="inlineStr">
        <is>
          <t>Soporte anual</t>
        </is>
      </c>
      <c r="H18" t="inlineStr">
        <is>
          <t>Freelancers para mantenimiento web</t>
        </is>
      </c>
      <c r="I18" s="5" t="n">
        <v>4190.49</v>
      </c>
      <c r="J18" s="3" t="n">
        <v>0.21</v>
      </c>
      <c r="K18" s="5">
        <f>ROUND(I18*(1+J18),2)</f>
        <v/>
      </c>
      <c r="L18" t="inlineStr">
        <is>
          <t>Variable</t>
        </is>
      </c>
      <c r="M18" t="inlineStr">
        <is>
          <t>Tecnología</t>
        </is>
      </c>
      <c r="N18" t="inlineStr">
        <is>
          <t>Intranet comercial</t>
        </is>
      </c>
    </row>
    <row r="19">
      <c r="A19" t="inlineStr">
        <is>
          <t>GAS-0018</t>
        </is>
      </c>
      <c r="B19" s="2" t="n">
        <v>45338</v>
      </c>
      <c r="C19" t="inlineStr">
        <is>
          <t>Tecnología</t>
        </is>
      </c>
      <c r="D19" t="inlineStr">
        <is>
          <t>Licencias CMS</t>
        </is>
      </c>
      <c r="E19" t="inlineStr">
        <is>
          <t>NoticiasPro</t>
        </is>
      </c>
      <c r="F19" t="inlineStr">
        <is>
          <t>Anuncios internet</t>
        </is>
      </c>
      <c r="G19" t="inlineStr">
        <is>
          <t>Retainer trimestral</t>
        </is>
      </c>
      <c r="H19" t="inlineStr">
        <is>
          <t>Licencias CMS para anuncios internet</t>
        </is>
      </c>
      <c r="I19" s="5" t="n">
        <v>2190.71</v>
      </c>
      <c r="J19" s="3" t="n">
        <v>0.21</v>
      </c>
      <c r="K19" s="5">
        <f>ROUND(I19*(1+J19),2)</f>
        <v/>
      </c>
      <c r="L19" t="inlineStr">
        <is>
          <t>Fijo</t>
        </is>
      </c>
      <c r="M19" t="inlineStr">
        <is>
          <t>Marketing</t>
        </is>
      </c>
      <c r="N19" t="inlineStr">
        <is>
          <t>Portal internacional</t>
        </is>
      </c>
    </row>
    <row r="20">
      <c r="A20" t="inlineStr">
        <is>
          <t>GAS-0019</t>
        </is>
      </c>
      <c r="B20" s="2" t="n">
        <v>45722</v>
      </c>
      <c r="C20" t="inlineStr">
        <is>
          <t>Operaciones</t>
        </is>
      </c>
      <c r="D20" t="inlineStr">
        <is>
          <t>QA intranet</t>
        </is>
      </c>
      <c r="E20" t="inlineStr">
        <is>
          <t>AdVision</t>
        </is>
      </c>
      <c r="F20" t="inlineStr">
        <is>
          <t>Mantenimiento web</t>
        </is>
      </c>
      <c r="G20" t="inlineStr">
        <is>
          <t>Campaña</t>
        </is>
      </c>
      <c r="H20" t="inlineStr">
        <is>
          <t>QA intranet para mantenimiento web</t>
        </is>
      </c>
      <c r="I20" s="5" t="n">
        <v>3026.4</v>
      </c>
      <c r="J20" s="3" t="n">
        <v>0</v>
      </c>
      <c r="K20" s="5">
        <f>ROUND(I20*(1+J20),2)</f>
        <v/>
      </c>
      <c r="L20" t="inlineStr">
        <is>
          <t>Fijo</t>
        </is>
      </c>
      <c r="M20" t="inlineStr">
        <is>
          <t>Tecnología</t>
        </is>
      </c>
      <c r="N20" t="inlineStr">
        <is>
          <t>Intranet comercial</t>
        </is>
      </c>
    </row>
    <row r="21">
      <c r="A21" t="inlineStr">
        <is>
          <t>GAS-0020</t>
        </is>
      </c>
      <c r="B21" s="2" t="n">
        <v>45614</v>
      </c>
      <c r="C21" t="inlineStr">
        <is>
          <t>Tecnología</t>
        </is>
      </c>
      <c r="D21" t="inlineStr">
        <is>
          <t>Monitorización</t>
        </is>
      </c>
      <c r="E21" t="inlineStr">
        <is>
          <t>Legal Iberia</t>
        </is>
      </c>
      <c r="F21" t="inlineStr">
        <is>
          <t>Anuncios TV</t>
        </is>
      </c>
      <c r="G21" t="inlineStr">
        <is>
          <t>Proyecto puntual</t>
        </is>
      </c>
      <c r="H21" t="inlineStr">
        <is>
          <t>Monitorización para anuncios tv</t>
        </is>
      </c>
      <c r="I21" s="5" t="n">
        <v>1131.57</v>
      </c>
      <c r="J21" s="3" t="n">
        <v>0</v>
      </c>
      <c r="K21" s="5">
        <f>ROUND(I21*(1+J21),2)</f>
        <v/>
      </c>
      <c r="L21" t="inlineStr">
        <is>
          <t>Variable</t>
        </is>
      </c>
      <c r="M21" t="inlineStr">
        <is>
          <t>Comercial</t>
        </is>
      </c>
      <c r="N21" t="inlineStr">
        <is>
          <t>Centro de prensa</t>
        </is>
      </c>
    </row>
    <row r="22">
      <c r="A22" t="inlineStr">
        <is>
          <t>GAS-0021</t>
        </is>
      </c>
      <c r="B22" s="2" t="n">
        <v>45725</v>
      </c>
      <c r="C22" t="inlineStr">
        <is>
          <t>Personal</t>
        </is>
      </c>
      <c r="D22" t="inlineStr">
        <is>
          <t>Salarios</t>
        </is>
      </c>
      <c r="E22" t="inlineStr">
        <is>
          <t>CloudPulse</t>
        </is>
      </c>
      <c r="F22" t="inlineStr">
        <is>
          <t>Traducciones</t>
        </is>
      </c>
      <c r="G22" t="inlineStr">
        <is>
          <t>Campaña</t>
        </is>
      </c>
      <c r="H22" t="inlineStr">
        <is>
          <t>Salarios para traducciones</t>
        </is>
      </c>
      <c r="I22" s="5" t="n">
        <v>2352.1</v>
      </c>
      <c r="J22" s="3" t="n">
        <v>0.21</v>
      </c>
      <c r="K22" s="5">
        <f>ROUND(I22*(1+J22),2)</f>
        <v/>
      </c>
      <c r="L22" t="inlineStr">
        <is>
          <t>Variable</t>
        </is>
      </c>
      <c r="M22" t="inlineStr">
        <is>
          <t>Marketing</t>
        </is>
      </c>
      <c r="N22" t="inlineStr">
        <is>
          <t>Sección noticias</t>
        </is>
      </c>
    </row>
    <row r="23">
      <c r="A23" t="inlineStr">
        <is>
          <t>GAS-0022</t>
        </is>
      </c>
      <c r="B23" s="2" t="n">
        <v>45719</v>
      </c>
      <c r="C23" t="inlineStr">
        <is>
          <t>Personal</t>
        </is>
      </c>
      <c r="D23" t="inlineStr">
        <is>
          <t>Formación</t>
        </is>
      </c>
      <c r="E23" t="inlineStr">
        <is>
          <t>CloudPulse</t>
        </is>
      </c>
      <c r="F23" t="inlineStr">
        <is>
          <t>Anuncios RRHH</t>
        </is>
      </c>
      <c r="G23" t="inlineStr">
        <is>
          <t>Proyecto puntual</t>
        </is>
      </c>
      <c r="H23" t="inlineStr">
        <is>
          <t>Formación para anuncios rrhh</t>
        </is>
      </c>
      <c r="I23" s="5" t="n">
        <v>7036.56</v>
      </c>
      <c r="J23" s="3" t="n">
        <v>0</v>
      </c>
      <c r="K23" s="5">
        <f>ROUND(I23*(1+J23),2)</f>
        <v/>
      </c>
      <c r="L23" t="inlineStr">
        <is>
          <t>Fijo</t>
        </is>
      </c>
      <c r="M23" t="inlineStr">
        <is>
          <t>Administración</t>
        </is>
      </c>
      <c r="N23" t="inlineStr">
        <is>
          <t>Campaña empleo</t>
        </is>
      </c>
    </row>
    <row r="24">
      <c r="A24" t="inlineStr">
        <is>
          <t>GAS-0023</t>
        </is>
      </c>
      <c r="B24" s="2" t="n">
        <v>45368</v>
      </c>
      <c r="C24" t="inlineStr">
        <is>
          <t>Operaciones</t>
        </is>
      </c>
      <c r="D24" t="inlineStr">
        <is>
          <t>QA intranet</t>
        </is>
      </c>
      <c r="E24" t="inlineStr">
        <is>
          <t>LinguaTech</t>
        </is>
      </c>
      <c r="F24" t="inlineStr">
        <is>
          <t>Mantenimiento intranets</t>
        </is>
      </c>
      <c r="G24" t="inlineStr">
        <is>
          <t>Retainer trimestral</t>
        </is>
      </c>
      <c r="H24" t="inlineStr">
        <is>
          <t>QA intranet para mantenimiento intranets</t>
        </is>
      </c>
      <c r="I24" s="5" t="n">
        <v>3765.32</v>
      </c>
      <c r="J24" s="3" t="n">
        <v>0.21</v>
      </c>
      <c r="K24" s="5">
        <f>ROUND(I24*(1+J24),2)</f>
        <v/>
      </c>
      <c r="L24" t="inlineStr">
        <is>
          <t>Fijo</t>
        </is>
      </c>
      <c r="M24" t="inlineStr">
        <is>
          <t>Operaciones</t>
        </is>
      </c>
      <c r="N24" t="inlineStr">
        <is>
          <t>Microsite RRHH</t>
        </is>
      </c>
    </row>
    <row r="25">
      <c r="A25" t="inlineStr">
        <is>
          <t>GAS-0024</t>
        </is>
      </c>
      <c r="B25" s="2" t="n">
        <v>45439</v>
      </c>
      <c r="C25" t="inlineStr">
        <is>
          <t>Marketing</t>
        </is>
      </c>
      <c r="D25" t="inlineStr">
        <is>
          <t>Producción TV</t>
        </is>
      </c>
      <c r="E25" t="inlineStr">
        <is>
          <t>Redacción Global</t>
        </is>
      </c>
      <c r="F25" t="inlineStr">
        <is>
          <t>Anuncios internet</t>
        </is>
      </c>
      <c r="G25" t="inlineStr">
        <is>
          <t>Campaña</t>
        </is>
      </c>
      <c r="H25" t="inlineStr">
        <is>
          <t>Producción TV para anuncios internet</t>
        </is>
      </c>
      <c r="I25" s="5" t="n">
        <v>2529.37</v>
      </c>
      <c r="J25" s="3" t="n">
        <v>0.21</v>
      </c>
      <c r="K25" s="5">
        <f>ROUND(I25*(1+J25),2)</f>
        <v/>
      </c>
      <c r="L25" t="inlineStr">
        <is>
          <t>Fijo</t>
        </is>
      </c>
      <c r="M25" t="inlineStr">
        <is>
          <t>Marketing</t>
        </is>
      </c>
      <c r="N25" t="inlineStr">
        <is>
          <t>Campaña empleo</t>
        </is>
      </c>
    </row>
    <row r="26">
      <c r="A26" t="inlineStr">
        <is>
          <t>GAS-0025</t>
        </is>
      </c>
      <c r="B26" s="2" t="n">
        <v>45608</v>
      </c>
      <c r="C26" t="inlineStr">
        <is>
          <t>Marketing</t>
        </is>
      </c>
      <c r="D26" t="inlineStr">
        <is>
          <t>Ads prensa local</t>
        </is>
      </c>
      <c r="E26" t="inlineStr">
        <is>
          <t>Legal Iberia</t>
        </is>
      </c>
      <c r="F26" t="inlineStr">
        <is>
          <t>Mantenimiento intranets</t>
        </is>
      </c>
      <c r="G26" t="inlineStr">
        <is>
          <t>Proyecto puntual</t>
        </is>
      </c>
      <c r="H26" t="inlineStr">
        <is>
          <t>Ads prensa local para mantenimiento intranets</t>
        </is>
      </c>
      <c r="I26" s="5" t="n">
        <v>2007.53</v>
      </c>
      <c r="J26" s="3" t="n">
        <v>0.21</v>
      </c>
      <c r="K26" s="5">
        <f>ROUND(I26*(1+J26),2)</f>
        <v/>
      </c>
      <c r="L26" t="inlineStr">
        <is>
          <t>Variable</t>
        </is>
      </c>
      <c r="M26" t="inlineStr">
        <is>
          <t>Operaciones</t>
        </is>
      </c>
      <c r="N26" t="inlineStr">
        <is>
          <t>Portal corporativo</t>
        </is>
      </c>
    </row>
    <row r="27">
      <c r="A27" t="inlineStr">
        <is>
          <t>GAS-0026</t>
        </is>
      </c>
      <c r="B27" s="2" t="n">
        <v>45340</v>
      </c>
      <c r="C27" t="inlineStr">
        <is>
          <t>Tecnología</t>
        </is>
      </c>
      <c r="D27" t="inlineStr">
        <is>
          <t>Herramientas SEO</t>
        </is>
      </c>
      <c r="E27" t="inlineStr">
        <is>
          <t>NominaPlus</t>
        </is>
      </c>
      <c r="F27" t="inlineStr">
        <is>
          <t>Anuncios prensa</t>
        </is>
      </c>
      <c r="G27" t="inlineStr">
        <is>
          <t>Suscripción mensual</t>
        </is>
      </c>
      <c r="H27" t="inlineStr">
        <is>
          <t>Herramientas SEO para anuncios prensa</t>
        </is>
      </c>
      <c r="I27" s="5" t="n">
        <v>1734.94</v>
      </c>
      <c r="J27" s="3" t="n">
        <v>0</v>
      </c>
      <c r="K27" s="5">
        <f>ROUND(I27*(1+J27),2)</f>
        <v/>
      </c>
      <c r="L27" t="inlineStr">
        <is>
          <t>Variable</t>
        </is>
      </c>
      <c r="M27" t="inlineStr">
        <is>
          <t>Comercial</t>
        </is>
      </c>
      <c r="N27" t="inlineStr">
        <is>
          <t>Intranet operaciones</t>
        </is>
      </c>
    </row>
    <row r="28">
      <c r="A28" t="inlineStr">
        <is>
          <t>GAS-0027</t>
        </is>
      </c>
      <c r="B28" s="2" t="n">
        <v>45578</v>
      </c>
      <c r="C28" t="inlineStr">
        <is>
          <t>Operaciones</t>
        </is>
      </c>
      <c r="D28" t="inlineStr">
        <is>
          <t>Freelancers</t>
        </is>
      </c>
      <c r="E28" t="inlineStr">
        <is>
          <t>Acme Hosting</t>
        </is>
      </c>
      <c r="F28" t="inlineStr">
        <is>
          <t>Mantenimiento web</t>
        </is>
      </c>
      <c r="G28" t="inlineStr">
        <is>
          <t>Soporte anual</t>
        </is>
      </c>
      <c r="H28" t="inlineStr">
        <is>
          <t>Freelancers para mantenimiento web</t>
        </is>
      </c>
      <c r="I28" s="5" t="n">
        <v>2458.98</v>
      </c>
      <c r="J28" s="3" t="n">
        <v>0.21</v>
      </c>
      <c r="K28" s="5">
        <f>ROUND(I28*(1+J28),2)</f>
        <v/>
      </c>
      <c r="L28" t="inlineStr">
        <is>
          <t>Variable</t>
        </is>
      </c>
      <c r="M28" t="inlineStr">
        <is>
          <t>Comercial</t>
        </is>
      </c>
      <c r="N28" t="inlineStr">
        <is>
          <t>Intranet operaciones</t>
        </is>
      </c>
    </row>
    <row r="29">
      <c r="A29" t="inlineStr">
        <is>
          <t>GAS-0028</t>
        </is>
      </c>
      <c r="B29" s="2" t="n">
        <v>45357</v>
      </c>
      <c r="C29" t="inlineStr">
        <is>
          <t>Operaciones</t>
        </is>
      </c>
      <c r="D29" t="inlineStr">
        <is>
          <t>QA intranet</t>
        </is>
      </c>
      <c r="E29" t="inlineStr">
        <is>
          <t>Legal Iberia</t>
        </is>
      </c>
      <c r="F29" t="inlineStr">
        <is>
          <t>Publicación de noticias</t>
        </is>
      </c>
      <c r="G29" t="inlineStr">
        <is>
          <t>Retainer trimestral</t>
        </is>
      </c>
      <c r="H29" t="inlineStr">
        <is>
          <t>QA intranet para publicación de noticias</t>
        </is>
      </c>
      <c r="I29" s="5" t="n">
        <v>1673.38</v>
      </c>
      <c r="J29" s="3" t="n">
        <v>0.21</v>
      </c>
      <c r="K29" s="5">
        <f>ROUND(I29*(1+J29),2)</f>
        <v/>
      </c>
      <c r="L29" t="inlineStr">
        <is>
          <t>Variable</t>
        </is>
      </c>
      <c r="M29" t="inlineStr">
        <is>
          <t>Tecnología</t>
        </is>
      </c>
      <c r="N29" t="inlineStr">
        <is>
          <t>Centro de prensa</t>
        </is>
      </c>
    </row>
    <row r="30">
      <c r="A30" t="inlineStr">
        <is>
          <t>GAS-0029</t>
        </is>
      </c>
      <c r="B30" s="2" t="n">
        <v>45369</v>
      </c>
      <c r="C30" t="inlineStr">
        <is>
          <t>Marketing</t>
        </is>
      </c>
      <c r="D30" t="inlineStr">
        <is>
          <t>Ads prensa local</t>
        </is>
      </c>
      <c r="E30" t="inlineStr">
        <is>
          <t>NominaPlus</t>
        </is>
      </c>
      <c r="F30" t="inlineStr">
        <is>
          <t>Anuncios TV</t>
        </is>
      </c>
      <c r="G30" t="inlineStr">
        <is>
          <t>Campaña</t>
        </is>
      </c>
      <c r="H30" t="inlineStr">
        <is>
          <t>Ads prensa local para anuncios tv</t>
        </is>
      </c>
      <c r="I30" s="5" t="n">
        <v>3991.85</v>
      </c>
      <c r="J30" s="3" t="n">
        <v>0</v>
      </c>
      <c r="K30" s="5">
        <f>ROUND(I30*(1+J30),2)</f>
        <v/>
      </c>
      <c r="L30" t="inlineStr">
        <is>
          <t>Fijo</t>
        </is>
      </c>
      <c r="M30" t="inlineStr">
        <is>
          <t>Comercial</t>
        </is>
      </c>
      <c r="N30" t="inlineStr">
        <is>
          <t>Portal corporativo</t>
        </is>
      </c>
    </row>
    <row r="31">
      <c r="A31" t="inlineStr">
        <is>
          <t>GAS-0030</t>
        </is>
      </c>
      <c r="B31" s="2" t="n">
        <v>45312</v>
      </c>
      <c r="C31" t="inlineStr">
        <is>
          <t>Personal</t>
        </is>
      </c>
      <c r="D31" t="inlineStr">
        <is>
          <t>Salarios</t>
        </is>
      </c>
      <c r="E31" t="inlineStr">
        <is>
          <t>Legal Iberia</t>
        </is>
      </c>
      <c r="F31" t="inlineStr">
        <is>
          <t>Anuncios internet</t>
        </is>
      </c>
      <c r="G31" t="inlineStr">
        <is>
          <t>Retainer trimestral</t>
        </is>
      </c>
      <c r="H31" t="inlineStr">
        <is>
          <t>Salarios para anuncios internet</t>
        </is>
      </c>
      <c r="I31" s="5" t="n">
        <v>3099.63</v>
      </c>
      <c r="J31" s="3" t="n">
        <v>0.1</v>
      </c>
      <c r="K31" s="5">
        <f>ROUND(I31*(1+J31),2)</f>
        <v/>
      </c>
      <c r="L31" t="inlineStr">
        <is>
          <t>Variable</t>
        </is>
      </c>
      <c r="M31" t="inlineStr">
        <is>
          <t>Marketing</t>
        </is>
      </c>
      <c r="N31" t="inlineStr">
        <is>
          <t>Intranet operaciones</t>
        </is>
      </c>
    </row>
    <row r="32">
      <c r="A32" t="inlineStr">
        <is>
          <t>GAS-0031</t>
        </is>
      </c>
      <c r="B32" s="2" t="n">
        <v>45552</v>
      </c>
      <c r="C32" t="inlineStr">
        <is>
          <t>Personal</t>
        </is>
      </c>
      <c r="D32" t="inlineStr">
        <is>
          <t>Formación</t>
        </is>
      </c>
      <c r="E32" t="inlineStr">
        <is>
          <t>IntraSys</t>
        </is>
      </c>
      <c r="F32" t="inlineStr">
        <is>
          <t>Publicación de noticias</t>
        </is>
      </c>
      <c r="G32" t="inlineStr">
        <is>
          <t>Soporte anual</t>
        </is>
      </c>
      <c r="H32" t="inlineStr">
        <is>
          <t>Formación para publicación de noticias</t>
        </is>
      </c>
      <c r="I32" s="5" t="n">
        <v>2102.68</v>
      </c>
      <c r="J32" s="3" t="n">
        <v>0.1</v>
      </c>
      <c r="K32" s="5">
        <f>ROUND(I32*(1+J32),2)</f>
        <v/>
      </c>
      <c r="L32" t="inlineStr">
        <is>
          <t>Fijo</t>
        </is>
      </c>
      <c r="M32" t="inlineStr">
        <is>
          <t>Administración</t>
        </is>
      </c>
      <c r="N32" t="inlineStr">
        <is>
          <t>Portal corporativo</t>
        </is>
      </c>
    </row>
    <row r="33">
      <c r="A33" t="inlineStr">
        <is>
          <t>GAS-0032</t>
        </is>
      </c>
      <c r="B33" s="2" t="n">
        <v>45305</v>
      </c>
      <c r="C33" t="inlineStr">
        <is>
          <t>Tecnología</t>
        </is>
      </c>
      <c r="D33" t="inlineStr">
        <is>
          <t>Monitorización</t>
        </is>
      </c>
      <c r="E33" t="inlineStr">
        <is>
          <t>IntraSys</t>
        </is>
      </c>
      <c r="F33" t="inlineStr">
        <is>
          <t>Publicación de noticias</t>
        </is>
      </c>
      <c r="G33" t="inlineStr">
        <is>
          <t>Suscripción mensual</t>
        </is>
      </c>
      <c r="H33" t="inlineStr">
        <is>
          <t>Monitorización para publicación de noticias</t>
        </is>
      </c>
      <c r="I33" s="5" t="n">
        <v>258.26</v>
      </c>
      <c r="J33" s="3" t="n">
        <v>0.21</v>
      </c>
      <c r="K33" s="5">
        <f>ROUND(I33*(1+J33),2)</f>
        <v/>
      </c>
      <c r="L33" t="inlineStr">
        <is>
          <t>Variable</t>
        </is>
      </c>
      <c r="M33" t="inlineStr">
        <is>
          <t>Administración</t>
        </is>
      </c>
      <c r="N33" t="inlineStr">
        <is>
          <t>Intranet comercial</t>
        </is>
      </c>
    </row>
    <row r="34">
      <c r="A34" t="inlineStr">
        <is>
          <t>GAS-0033</t>
        </is>
      </c>
      <c r="B34" s="2" t="n">
        <v>45596</v>
      </c>
      <c r="C34" t="inlineStr">
        <is>
          <t>Operaciones</t>
        </is>
      </c>
      <c r="D34" t="inlineStr">
        <is>
          <t>Revisión editorial</t>
        </is>
      </c>
      <c r="E34" t="inlineStr">
        <is>
          <t>SEO Metrics</t>
        </is>
      </c>
      <c r="F34" t="inlineStr">
        <is>
          <t>Mantenimiento web</t>
        </is>
      </c>
      <c r="G34" t="inlineStr">
        <is>
          <t>Suscripción mensual</t>
        </is>
      </c>
      <c r="H34" t="inlineStr">
        <is>
          <t>Revisión editorial para mantenimiento web</t>
        </is>
      </c>
      <c r="I34" s="5" t="n">
        <v>2806.22</v>
      </c>
      <c r="J34" s="3" t="n">
        <v>0.21</v>
      </c>
      <c r="K34" s="5">
        <f>ROUND(I34*(1+J34),2)</f>
        <v/>
      </c>
      <c r="L34" t="inlineStr">
        <is>
          <t>Fijo</t>
        </is>
      </c>
      <c r="M34" t="inlineStr">
        <is>
          <t>Administración</t>
        </is>
      </c>
      <c r="N34" t="inlineStr">
        <is>
          <t>Intranet operaciones</t>
        </is>
      </c>
    </row>
    <row r="35">
      <c r="A35" t="inlineStr">
        <is>
          <t>GAS-0034</t>
        </is>
      </c>
      <c r="B35" s="2" t="n">
        <v>45328</v>
      </c>
      <c r="C35" t="inlineStr">
        <is>
          <t>Personal</t>
        </is>
      </c>
      <c r="D35" t="inlineStr">
        <is>
          <t>Formación</t>
        </is>
      </c>
      <c r="E35" t="inlineStr">
        <is>
          <t>NominaPlus</t>
        </is>
      </c>
      <c r="F35" t="inlineStr">
        <is>
          <t>Publicación de noticias</t>
        </is>
      </c>
      <c r="G35" t="inlineStr">
        <is>
          <t>Soporte anual</t>
        </is>
      </c>
      <c r="H35" t="inlineStr">
        <is>
          <t>Formación para publicación de noticias</t>
        </is>
      </c>
      <c r="I35" s="5" t="n">
        <v>2742.98</v>
      </c>
      <c r="J35" s="3" t="n">
        <v>0.21</v>
      </c>
      <c r="K35" s="5">
        <f>ROUND(I35*(1+J35),2)</f>
        <v/>
      </c>
      <c r="L35" t="inlineStr">
        <is>
          <t>Fijo</t>
        </is>
      </c>
      <c r="M35" t="inlineStr">
        <is>
          <t>Marketing</t>
        </is>
      </c>
      <c r="N35" t="inlineStr">
        <is>
          <t>Centro de prensa</t>
        </is>
      </c>
    </row>
    <row r="36">
      <c r="A36" t="inlineStr">
        <is>
          <t>GAS-0035</t>
        </is>
      </c>
      <c r="B36" s="2" t="n">
        <v>45626</v>
      </c>
      <c r="C36" t="inlineStr">
        <is>
          <t>Personal</t>
        </is>
      </c>
      <c r="D36" t="inlineStr">
        <is>
          <t>Seguridad Social</t>
        </is>
      </c>
      <c r="E36" t="inlineStr">
        <is>
          <t>MediaCloud</t>
        </is>
      </c>
      <c r="F36" t="inlineStr">
        <is>
          <t>Traducciones</t>
        </is>
      </c>
      <c r="G36" t="inlineStr">
        <is>
          <t>Suscripción mensual</t>
        </is>
      </c>
      <c r="H36" t="inlineStr">
        <is>
          <t>Seguridad Social para traducciones</t>
        </is>
      </c>
      <c r="I36" s="5" t="n">
        <v>1349.74</v>
      </c>
      <c r="J36" s="3" t="n">
        <v>0.21</v>
      </c>
      <c r="K36" s="5">
        <f>ROUND(I36*(1+J36),2)</f>
        <v/>
      </c>
      <c r="L36" t="inlineStr">
        <is>
          <t>Variable</t>
        </is>
      </c>
      <c r="M36" t="inlineStr">
        <is>
          <t>Marketing</t>
        </is>
      </c>
      <c r="N36" t="inlineStr">
        <is>
          <t>Centro de prensa</t>
        </is>
      </c>
    </row>
    <row r="37">
      <c r="A37" t="inlineStr">
        <is>
          <t>GAS-0036</t>
        </is>
      </c>
      <c r="B37" s="2" t="n">
        <v>45535</v>
      </c>
      <c r="C37" t="inlineStr">
        <is>
          <t>Operaciones</t>
        </is>
      </c>
      <c r="D37" t="inlineStr">
        <is>
          <t>Revisión editorial</t>
        </is>
      </c>
      <c r="E37" t="inlineStr">
        <is>
          <t>IntraSys</t>
        </is>
      </c>
      <c r="F37" t="inlineStr">
        <is>
          <t>Anuncios RRHH</t>
        </is>
      </c>
      <c r="G37" t="inlineStr">
        <is>
          <t>Soporte anual</t>
        </is>
      </c>
      <c r="H37" t="inlineStr">
        <is>
          <t>Revisión editorial para anuncios rrhh</t>
        </is>
      </c>
      <c r="I37" s="5" t="n">
        <v>3014.29</v>
      </c>
      <c r="J37" s="3" t="n">
        <v>0.1</v>
      </c>
      <c r="K37" s="5">
        <f>ROUND(I37*(1+J37),2)</f>
        <v/>
      </c>
      <c r="L37" t="inlineStr">
        <is>
          <t>Variable</t>
        </is>
      </c>
      <c r="M37" t="inlineStr">
        <is>
          <t>Operaciones</t>
        </is>
      </c>
      <c r="N37" t="inlineStr">
        <is>
          <t>Microsite RRHH</t>
        </is>
      </c>
    </row>
    <row r="38">
      <c r="A38" t="inlineStr">
        <is>
          <t>GAS-0037</t>
        </is>
      </c>
      <c r="B38" s="2" t="n">
        <v>45623</v>
      </c>
      <c r="C38" t="inlineStr">
        <is>
          <t>Operaciones</t>
        </is>
      </c>
      <c r="D38" t="inlineStr">
        <is>
          <t>Revisión editorial</t>
        </is>
      </c>
      <c r="E38" t="inlineStr">
        <is>
          <t>SEO Metrics</t>
        </is>
      </c>
      <c r="F38" t="inlineStr">
        <is>
          <t>Anuncios prensa</t>
        </is>
      </c>
      <c r="G38" t="inlineStr">
        <is>
          <t>Proyecto puntual</t>
        </is>
      </c>
      <c r="H38" t="inlineStr">
        <is>
          <t>Revisión editorial para anuncios prensa</t>
        </is>
      </c>
      <c r="I38" s="5" t="n">
        <v>5843.64</v>
      </c>
      <c r="J38" s="3" t="n">
        <v>0.21</v>
      </c>
      <c r="K38" s="5">
        <f>ROUND(I38*(1+J38),2)</f>
        <v/>
      </c>
      <c r="L38" t="inlineStr">
        <is>
          <t>Fijo</t>
        </is>
      </c>
      <c r="M38" t="inlineStr">
        <is>
          <t>Tecnología</t>
        </is>
      </c>
      <c r="N38" t="inlineStr">
        <is>
          <t>Intranet operaciones</t>
        </is>
      </c>
    </row>
    <row r="39">
      <c r="A39" t="inlineStr">
        <is>
          <t>GAS-0038</t>
        </is>
      </c>
      <c r="B39" s="2" t="n">
        <v>45443</v>
      </c>
      <c r="C39" t="inlineStr">
        <is>
          <t>Tecnología</t>
        </is>
      </c>
      <c r="D39" t="inlineStr">
        <is>
          <t>Software traducción</t>
        </is>
      </c>
      <c r="E39" t="inlineStr">
        <is>
          <t>CloudPulse</t>
        </is>
      </c>
      <c r="F39" t="inlineStr">
        <is>
          <t>Generación de noticias</t>
        </is>
      </c>
      <c r="G39" t="inlineStr">
        <is>
          <t>Suscripción mensual</t>
        </is>
      </c>
      <c r="H39" t="inlineStr">
        <is>
          <t>Software traducción para generación de noticias</t>
        </is>
      </c>
      <c r="I39" s="5" t="n">
        <v>376.47</v>
      </c>
      <c r="J39" s="3" t="n">
        <v>0.1</v>
      </c>
      <c r="K39" s="5">
        <f>ROUND(I39*(1+J39),2)</f>
        <v/>
      </c>
      <c r="L39" t="inlineStr">
        <is>
          <t>Fijo</t>
        </is>
      </c>
      <c r="M39" t="inlineStr">
        <is>
          <t>Operaciones</t>
        </is>
      </c>
      <c r="N39" t="inlineStr">
        <is>
          <t>Intranet comercial</t>
        </is>
      </c>
    </row>
    <row r="40">
      <c r="A40" t="inlineStr">
        <is>
          <t>GAS-0039</t>
        </is>
      </c>
      <c r="B40" s="2" t="n">
        <v>45685</v>
      </c>
      <c r="C40" t="inlineStr">
        <is>
          <t>Tecnología</t>
        </is>
      </c>
      <c r="D40" t="inlineStr">
        <is>
          <t>Software traducción</t>
        </is>
      </c>
      <c r="E40" t="inlineStr">
        <is>
          <t>NominaPlus</t>
        </is>
      </c>
      <c r="F40" t="inlineStr">
        <is>
          <t>Traducciones</t>
        </is>
      </c>
      <c r="G40" t="inlineStr">
        <is>
          <t>Suscripción mensual</t>
        </is>
      </c>
      <c r="H40" t="inlineStr">
        <is>
          <t>Software traducción para traducciones</t>
        </is>
      </c>
      <c r="I40" s="5" t="n">
        <v>1751.12</v>
      </c>
      <c r="J40" s="3" t="n">
        <v>0</v>
      </c>
      <c r="K40" s="5">
        <f>ROUND(I40*(1+J40),2)</f>
        <v/>
      </c>
      <c r="L40" t="inlineStr">
        <is>
          <t>Variable</t>
        </is>
      </c>
      <c r="M40" t="inlineStr">
        <is>
          <t>Comercial</t>
        </is>
      </c>
      <c r="N40" t="inlineStr">
        <is>
          <t>Sección noticias</t>
        </is>
      </c>
    </row>
    <row r="41">
      <c r="A41" t="inlineStr">
        <is>
          <t>GAS-0040</t>
        </is>
      </c>
      <c r="B41" s="2" t="n">
        <v>45522</v>
      </c>
      <c r="C41" t="inlineStr">
        <is>
          <t>Operaciones</t>
        </is>
      </c>
      <c r="D41" t="inlineStr">
        <is>
          <t>Freelancers</t>
        </is>
      </c>
      <c r="E41" t="inlineStr">
        <is>
          <t>CloudPulse</t>
        </is>
      </c>
      <c r="F41" t="inlineStr">
        <is>
          <t>Traducciones</t>
        </is>
      </c>
      <c r="G41" t="inlineStr">
        <is>
          <t>Retainer trimestral</t>
        </is>
      </c>
      <c r="H41" t="inlineStr">
        <is>
          <t>Freelancers para traducciones</t>
        </is>
      </c>
      <c r="I41" s="5" t="n">
        <v>4385.95</v>
      </c>
      <c r="J41" s="3" t="n">
        <v>0.21</v>
      </c>
      <c r="K41" s="5">
        <f>ROUND(I41*(1+J41),2)</f>
        <v/>
      </c>
      <c r="L41" t="inlineStr">
        <is>
          <t>Fijo</t>
        </is>
      </c>
      <c r="M41" t="inlineStr">
        <is>
          <t>Comercial</t>
        </is>
      </c>
      <c r="N41" t="inlineStr">
        <is>
          <t>Sección noticias</t>
        </is>
      </c>
    </row>
    <row r="42">
      <c r="A42" t="inlineStr">
        <is>
          <t>GAS-0041</t>
        </is>
      </c>
      <c r="B42" s="2" t="n">
        <v>45379</v>
      </c>
      <c r="C42" t="inlineStr">
        <is>
          <t>Personal</t>
        </is>
      </c>
      <c r="D42" t="inlineStr">
        <is>
          <t>Formación</t>
        </is>
      </c>
      <c r="E42" t="inlineStr">
        <is>
          <t>SEO Metrics</t>
        </is>
      </c>
      <c r="F42" t="inlineStr">
        <is>
          <t>Generación de noticias</t>
        </is>
      </c>
      <c r="G42" t="inlineStr">
        <is>
          <t>Campaña</t>
        </is>
      </c>
      <c r="H42" t="inlineStr">
        <is>
          <t>Formación para generación de noticias</t>
        </is>
      </c>
      <c r="I42" s="5" t="n">
        <v>7562.8</v>
      </c>
      <c r="J42" s="3" t="n">
        <v>0.21</v>
      </c>
      <c r="K42" s="5">
        <f>ROUND(I42*(1+J42),2)</f>
        <v/>
      </c>
      <c r="L42" t="inlineStr">
        <is>
          <t>Variable</t>
        </is>
      </c>
      <c r="M42" t="inlineStr">
        <is>
          <t>Administración</t>
        </is>
      </c>
      <c r="N42" t="inlineStr">
        <is>
          <t>Intranet operaciones</t>
        </is>
      </c>
    </row>
    <row r="43">
      <c r="A43" t="inlineStr">
        <is>
          <t>GAS-0042</t>
        </is>
      </c>
      <c r="B43" s="2" t="n">
        <v>45361</v>
      </c>
      <c r="C43" t="inlineStr">
        <is>
          <t>Personal</t>
        </is>
      </c>
      <c r="D43" t="inlineStr">
        <is>
          <t>Formación</t>
        </is>
      </c>
      <c r="E43" t="inlineStr">
        <is>
          <t>Acme Hosting</t>
        </is>
      </c>
      <c r="F43" t="inlineStr">
        <is>
          <t>Anuncios RRHH</t>
        </is>
      </c>
      <c r="G43" t="inlineStr">
        <is>
          <t>Proyecto puntual</t>
        </is>
      </c>
      <c r="H43" t="inlineStr">
        <is>
          <t>Formación para anuncios rrhh</t>
        </is>
      </c>
      <c r="I43" s="5" t="n">
        <v>6241.83</v>
      </c>
      <c r="J43" s="3" t="n">
        <v>0</v>
      </c>
      <c r="K43" s="5">
        <f>ROUND(I43*(1+J43),2)</f>
        <v/>
      </c>
      <c r="L43" t="inlineStr">
        <is>
          <t>Fijo</t>
        </is>
      </c>
      <c r="M43" t="inlineStr">
        <is>
          <t>Comercial</t>
        </is>
      </c>
      <c r="N43" t="inlineStr">
        <is>
          <t>Portal corporativo</t>
        </is>
      </c>
    </row>
    <row r="44">
      <c r="A44" t="inlineStr">
        <is>
          <t>GAS-0043</t>
        </is>
      </c>
      <c r="B44" s="2" t="n">
        <v>45446</v>
      </c>
      <c r="C44" t="inlineStr">
        <is>
          <t>Personal</t>
        </is>
      </c>
      <c r="D44" t="inlineStr">
        <is>
          <t>Formación</t>
        </is>
      </c>
      <c r="E44" t="inlineStr">
        <is>
          <t>Legal Iberia</t>
        </is>
      </c>
      <c r="F44" t="inlineStr">
        <is>
          <t>Publicación de noticias</t>
        </is>
      </c>
      <c r="G44" t="inlineStr">
        <is>
          <t>Proyecto puntual</t>
        </is>
      </c>
      <c r="H44" t="inlineStr">
        <is>
          <t>Formación para publicación de noticias</t>
        </is>
      </c>
      <c r="I44" s="5" t="n">
        <v>5943.1</v>
      </c>
      <c r="J44" s="3" t="n">
        <v>0.21</v>
      </c>
      <c r="K44" s="5">
        <f>ROUND(I44*(1+J44),2)</f>
        <v/>
      </c>
      <c r="L44" t="inlineStr">
        <is>
          <t>Variable</t>
        </is>
      </c>
      <c r="M44" t="inlineStr">
        <is>
          <t>Operaciones</t>
        </is>
      </c>
      <c r="N44" t="inlineStr">
        <is>
          <t>Intranet comercial</t>
        </is>
      </c>
    </row>
    <row r="45">
      <c r="A45" t="inlineStr">
        <is>
          <t>GAS-0044</t>
        </is>
      </c>
      <c r="B45" s="2" t="n">
        <v>45583</v>
      </c>
      <c r="C45" t="inlineStr">
        <is>
          <t>Personal</t>
        </is>
      </c>
      <c r="D45" t="inlineStr">
        <is>
          <t>Salarios</t>
        </is>
      </c>
      <c r="E45" t="inlineStr">
        <is>
          <t>TVSpot Studio</t>
        </is>
      </c>
      <c r="F45" t="inlineStr">
        <is>
          <t>Anuncios internet</t>
        </is>
      </c>
      <c r="G45" t="inlineStr">
        <is>
          <t>Suscripción mensual</t>
        </is>
      </c>
      <c r="H45" t="inlineStr">
        <is>
          <t>Salarios para anuncios internet</t>
        </is>
      </c>
      <c r="I45" s="5" t="n">
        <v>8236.23</v>
      </c>
      <c r="J45" s="3" t="n">
        <v>0.21</v>
      </c>
      <c r="K45" s="5">
        <f>ROUND(I45*(1+J45),2)</f>
        <v/>
      </c>
      <c r="L45" t="inlineStr">
        <is>
          <t>Fijo</t>
        </is>
      </c>
      <c r="M45" t="inlineStr">
        <is>
          <t>Operaciones</t>
        </is>
      </c>
      <c r="N45" t="inlineStr">
        <is>
          <t>Microsite RRHH</t>
        </is>
      </c>
    </row>
    <row r="46">
      <c r="A46" t="inlineStr">
        <is>
          <t>GAS-0045</t>
        </is>
      </c>
      <c r="B46" s="2" t="n">
        <v>45639</v>
      </c>
      <c r="C46" t="inlineStr">
        <is>
          <t>Administración</t>
        </is>
      </c>
      <c r="D46" t="inlineStr">
        <is>
          <t>Gestoría</t>
        </is>
      </c>
      <c r="E46" t="inlineStr">
        <is>
          <t>Legal Iberia</t>
        </is>
      </c>
      <c r="F46" t="inlineStr">
        <is>
          <t>Anuncios TV</t>
        </is>
      </c>
      <c r="G46" t="inlineStr">
        <is>
          <t>Proyecto puntual</t>
        </is>
      </c>
      <c r="H46" t="inlineStr">
        <is>
          <t>Gestoría para anuncios tv</t>
        </is>
      </c>
      <c r="I46" s="5" t="n">
        <v>2563.69</v>
      </c>
      <c r="J46" s="3" t="n">
        <v>0</v>
      </c>
      <c r="K46" s="5">
        <f>ROUND(I46*(1+J46),2)</f>
        <v/>
      </c>
      <c r="L46" t="inlineStr">
        <is>
          <t>Fijo</t>
        </is>
      </c>
      <c r="M46" t="inlineStr">
        <is>
          <t>Marketing</t>
        </is>
      </c>
      <c r="N46" t="inlineStr">
        <is>
          <t>Portal internacional</t>
        </is>
      </c>
    </row>
    <row r="47">
      <c r="A47" t="inlineStr">
        <is>
          <t>GAS-0046</t>
        </is>
      </c>
      <c r="B47" s="2" t="n">
        <v>45515</v>
      </c>
      <c r="C47" t="inlineStr">
        <is>
          <t>Tecnología</t>
        </is>
      </c>
      <c r="D47" t="inlineStr">
        <is>
          <t>Herramientas SEO</t>
        </is>
      </c>
      <c r="E47" t="inlineStr">
        <is>
          <t>Acme Hosting</t>
        </is>
      </c>
      <c r="F47" t="inlineStr">
        <is>
          <t>Anuncios prensa</t>
        </is>
      </c>
      <c r="G47" t="inlineStr">
        <is>
          <t>Proyecto puntual</t>
        </is>
      </c>
      <c r="H47" t="inlineStr">
        <is>
          <t>Herramientas SEO para anuncios prensa</t>
        </is>
      </c>
      <c r="I47" s="5" t="n">
        <v>351.3</v>
      </c>
      <c r="J47" s="3" t="n">
        <v>0.21</v>
      </c>
      <c r="K47" s="5">
        <f>ROUND(I47*(1+J47),2)</f>
        <v/>
      </c>
      <c r="L47" t="inlineStr">
        <is>
          <t>Fijo</t>
        </is>
      </c>
      <c r="M47" t="inlineStr">
        <is>
          <t>Marketing</t>
        </is>
      </c>
      <c r="N47" t="inlineStr">
        <is>
          <t>Portal internacional</t>
        </is>
      </c>
    </row>
    <row r="48">
      <c r="A48" t="inlineStr">
        <is>
          <t>GAS-0047</t>
        </is>
      </c>
      <c r="B48" s="2" t="n">
        <v>45531</v>
      </c>
      <c r="C48" t="inlineStr">
        <is>
          <t>Tecnología</t>
        </is>
      </c>
      <c r="D48" t="inlineStr">
        <is>
          <t>Monitorización</t>
        </is>
      </c>
      <c r="E48" t="inlineStr">
        <is>
          <t>MediaCloud</t>
        </is>
      </c>
      <c r="F48" t="inlineStr">
        <is>
          <t>Mantenimiento intranets</t>
        </is>
      </c>
      <c r="G48" t="inlineStr">
        <is>
          <t>Retainer trimestral</t>
        </is>
      </c>
      <c r="H48" t="inlineStr">
        <is>
          <t>Monitorización para mantenimiento intranets</t>
        </is>
      </c>
      <c r="I48" s="5" t="n">
        <v>1669.14</v>
      </c>
      <c r="J48" s="3" t="n">
        <v>0.21</v>
      </c>
      <c r="K48" s="5">
        <f>ROUND(I48*(1+J48),2)</f>
        <v/>
      </c>
      <c r="L48" t="inlineStr">
        <is>
          <t>Variable</t>
        </is>
      </c>
      <c r="M48" t="inlineStr">
        <is>
          <t>Tecnología</t>
        </is>
      </c>
      <c r="N48" t="inlineStr">
        <is>
          <t>Intranet operaciones</t>
        </is>
      </c>
    </row>
    <row r="49">
      <c r="A49" t="inlineStr">
        <is>
          <t>GAS-0048</t>
        </is>
      </c>
      <c r="B49" s="2" t="n">
        <v>45602</v>
      </c>
      <c r="C49" t="inlineStr">
        <is>
          <t>Marketing</t>
        </is>
      </c>
      <c r="D49" t="inlineStr">
        <is>
          <t>Ads Google</t>
        </is>
      </c>
      <c r="E49" t="inlineStr">
        <is>
          <t>Legal Iberia</t>
        </is>
      </c>
      <c r="F49" t="inlineStr">
        <is>
          <t>Mantenimiento intranets</t>
        </is>
      </c>
      <c r="G49" t="inlineStr">
        <is>
          <t>Suscripción mensual</t>
        </is>
      </c>
      <c r="H49" t="inlineStr">
        <is>
          <t>Ads Google para mantenimiento intranets</t>
        </is>
      </c>
      <c r="I49" s="5" t="n">
        <v>8104.56</v>
      </c>
      <c r="J49" s="3" t="n">
        <v>0.21</v>
      </c>
      <c r="K49" s="5">
        <f>ROUND(I49*(1+J49),2)</f>
        <v/>
      </c>
      <c r="L49" t="inlineStr">
        <is>
          <t>Variable</t>
        </is>
      </c>
      <c r="M49" t="inlineStr">
        <is>
          <t>Tecnología</t>
        </is>
      </c>
      <c r="N49" t="inlineStr">
        <is>
          <t>Campaña empleo</t>
        </is>
      </c>
    </row>
    <row r="50">
      <c r="A50" t="inlineStr">
        <is>
          <t>GAS-0049</t>
        </is>
      </c>
      <c r="B50" s="2" t="n">
        <v>45549</v>
      </c>
      <c r="C50" t="inlineStr">
        <is>
          <t>Personal</t>
        </is>
      </c>
      <c r="D50" t="inlineStr">
        <is>
          <t>Salarios</t>
        </is>
      </c>
      <c r="E50" t="inlineStr">
        <is>
          <t>Acme Hosting</t>
        </is>
      </c>
      <c r="F50" t="inlineStr">
        <is>
          <t>Mantenimiento web</t>
        </is>
      </c>
      <c r="G50" t="inlineStr">
        <is>
          <t>Suscripción mensual</t>
        </is>
      </c>
      <c r="H50" t="inlineStr">
        <is>
          <t>Salarios para mantenimiento web</t>
        </is>
      </c>
      <c r="I50" s="5" t="n">
        <v>3819.14</v>
      </c>
      <c r="J50" s="3" t="n">
        <v>0.21</v>
      </c>
      <c r="K50" s="5">
        <f>ROUND(I50*(1+J50),2)</f>
        <v/>
      </c>
      <c r="L50" t="inlineStr">
        <is>
          <t>Variable</t>
        </is>
      </c>
      <c r="M50" t="inlineStr">
        <is>
          <t>Operaciones</t>
        </is>
      </c>
      <c r="N50" t="inlineStr">
        <is>
          <t>Campaña empleo</t>
        </is>
      </c>
    </row>
    <row r="51">
      <c r="A51" t="inlineStr">
        <is>
          <t>GAS-0050</t>
        </is>
      </c>
      <c r="B51" s="2" t="n">
        <v>45428</v>
      </c>
      <c r="C51" t="inlineStr">
        <is>
          <t>Personal</t>
        </is>
      </c>
      <c r="D51" t="inlineStr">
        <is>
          <t>Salarios</t>
        </is>
      </c>
      <c r="E51" t="inlineStr">
        <is>
          <t>MediaCloud</t>
        </is>
      </c>
      <c r="F51" t="inlineStr">
        <is>
          <t>Anuncios internet</t>
        </is>
      </c>
      <c r="G51" t="inlineStr">
        <is>
          <t>Soporte anual</t>
        </is>
      </c>
      <c r="H51" t="inlineStr">
        <is>
          <t>Salarios para anuncios internet</t>
        </is>
      </c>
      <c r="I51" s="5" t="n">
        <v>3082.1</v>
      </c>
      <c r="J51" s="3" t="n">
        <v>0.1</v>
      </c>
      <c r="K51" s="5">
        <f>ROUND(I51*(1+J51),2)</f>
        <v/>
      </c>
      <c r="L51" t="inlineStr">
        <is>
          <t>Fijo</t>
        </is>
      </c>
      <c r="M51" t="inlineStr">
        <is>
          <t>Operaciones</t>
        </is>
      </c>
      <c r="N51" t="inlineStr">
        <is>
          <t>Intranet operaciones</t>
        </is>
      </c>
    </row>
    <row r="52">
      <c r="A52" t="inlineStr">
        <is>
          <t>GAS-0051</t>
        </is>
      </c>
      <c r="B52" s="2" t="n">
        <v>45551</v>
      </c>
      <c r="C52" t="inlineStr">
        <is>
          <t>Marketing</t>
        </is>
      </c>
      <c r="D52" t="inlineStr">
        <is>
          <t>Ads LinkedIn</t>
        </is>
      </c>
      <c r="E52" t="inlineStr">
        <is>
          <t>LinguaTech</t>
        </is>
      </c>
      <c r="F52" t="inlineStr">
        <is>
          <t>Traducciones</t>
        </is>
      </c>
      <c r="G52" t="inlineStr">
        <is>
          <t>Proyecto puntual</t>
        </is>
      </c>
      <c r="H52" t="inlineStr">
        <is>
          <t>Ads LinkedIn para traducciones</t>
        </is>
      </c>
      <c r="I52" s="5" t="n">
        <v>10343.13</v>
      </c>
      <c r="J52" s="3" t="n">
        <v>0</v>
      </c>
      <c r="K52" s="5">
        <f>ROUND(I52*(1+J52),2)</f>
        <v/>
      </c>
      <c r="L52" t="inlineStr">
        <is>
          <t>Fijo</t>
        </is>
      </c>
      <c r="M52" t="inlineStr">
        <is>
          <t>Tecnología</t>
        </is>
      </c>
      <c r="N52" t="inlineStr">
        <is>
          <t>Sección noticias</t>
        </is>
      </c>
    </row>
    <row r="53">
      <c r="A53" t="inlineStr">
        <is>
          <t>GAS-0052</t>
        </is>
      </c>
      <c r="B53" s="2" t="n">
        <v>45354</v>
      </c>
      <c r="C53" t="inlineStr">
        <is>
          <t>Marketing</t>
        </is>
      </c>
      <c r="D53" t="inlineStr">
        <is>
          <t>Producción TV</t>
        </is>
      </c>
      <c r="E53" t="inlineStr">
        <is>
          <t>NoticiasPro</t>
        </is>
      </c>
      <c r="F53" t="inlineStr">
        <is>
          <t>Anuncios TV</t>
        </is>
      </c>
      <c r="G53" t="inlineStr">
        <is>
          <t>Campaña</t>
        </is>
      </c>
      <c r="H53" t="inlineStr">
        <is>
          <t>Producción TV para anuncios tv</t>
        </is>
      </c>
      <c r="I53" s="5" t="n">
        <v>2105.26</v>
      </c>
      <c r="J53" s="3" t="n">
        <v>0.21</v>
      </c>
      <c r="K53" s="5">
        <f>ROUND(I53*(1+J53),2)</f>
        <v/>
      </c>
      <c r="L53" t="inlineStr">
        <is>
          <t>Fijo</t>
        </is>
      </c>
      <c r="M53" t="inlineStr">
        <is>
          <t>Comercial</t>
        </is>
      </c>
      <c r="N53" t="inlineStr">
        <is>
          <t>Intranet operaciones</t>
        </is>
      </c>
    </row>
    <row r="54">
      <c r="A54" t="inlineStr">
        <is>
          <t>GAS-0053</t>
        </is>
      </c>
      <c r="B54" s="2" t="n">
        <v>45369</v>
      </c>
      <c r="C54" t="inlineStr">
        <is>
          <t>Personal</t>
        </is>
      </c>
      <c r="D54" t="inlineStr">
        <is>
          <t>Formación</t>
        </is>
      </c>
      <c r="E54" t="inlineStr">
        <is>
          <t>NominaPlus</t>
        </is>
      </c>
      <c r="F54" t="inlineStr">
        <is>
          <t>Publicación de noticias</t>
        </is>
      </c>
      <c r="G54" t="inlineStr">
        <is>
          <t>Campaña</t>
        </is>
      </c>
      <c r="H54" t="inlineStr">
        <is>
          <t>Formación para publicación de noticias</t>
        </is>
      </c>
      <c r="I54" s="5" t="n">
        <v>1822.21</v>
      </c>
      <c r="J54" s="3" t="n">
        <v>0.21</v>
      </c>
      <c r="K54" s="5">
        <f>ROUND(I54*(1+J54),2)</f>
        <v/>
      </c>
      <c r="L54" t="inlineStr">
        <is>
          <t>Fijo</t>
        </is>
      </c>
      <c r="M54" t="inlineStr">
        <is>
          <t>Marketing</t>
        </is>
      </c>
      <c r="N54" t="inlineStr">
        <is>
          <t>Microsite RRHH</t>
        </is>
      </c>
    </row>
    <row r="55">
      <c r="A55" t="inlineStr">
        <is>
          <t>GAS-0054</t>
        </is>
      </c>
      <c r="B55" s="2" t="n">
        <v>45704</v>
      </c>
      <c r="C55" t="inlineStr">
        <is>
          <t>Operaciones</t>
        </is>
      </c>
      <c r="D55" t="inlineStr">
        <is>
          <t>QA intranet</t>
        </is>
      </c>
      <c r="E55" t="inlineStr">
        <is>
          <t>NominaPlus</t>
        </is>
      </c>
      <c r="F55" t="inlineStr">
        <is>
          <t>Anuncios TV</t>
        </is>
      </c>
      <c r="G55" t="inlineStr">
        <is>
          <t>Suscripción mensual</t>
        </is>
      </c>
      <c r="H55" t="inlineStr">
        <is>
          <t>QA intranet para anuncios tv</t>
        </is>
      </c>
      <c r="I55" s="5" t="n">
        <v>1001.67</v>
      </c>
      <c r="J55" s="3" t="n">
        <v>0</v>
      </c>
      <c r="K55" s="5">
        <f>ROUND(I55*(1+J55),2)</f>
        <v/>
      </c>
      <c r="L55" t="inlineStr">
        <is>
          <t>Variable</t>
        </is>
      </c>
      <c r="M55" t="inlineStr">
        <is>
          <t>Tecnología</t>
        </is>
      </c>
      <c r="N55" t="inlineStr">
        <is>
          <t>Microsite RRHH</t>
        </is>
      </c>
    </row>
    <row r="56">
      <c r="A56" t="inlineStr">
        <is>
          <t>GAS-0055</t>
        </is>
      </c>
      <c r="B56" s="2" t="n">
        <v>45321</v>
      </c>
      <c r="C56" t="inlineStr">
        <is>
          <t>Administración</t>
        </is>
      </c>
      <c r="D56" t="inlineStr">
        <is>
          <t>Telefonía</t>
        </is>
      </c>
      <c r="E56" t="inlineStr">
        <is>
          <t>SEO Metrics</t>
        </is>
      </c>
      <c r="F56" t="inlineStr">
        <is>
          <t>Anuncios prensa</t>
        </is>
      </c>
      <c r="G56" t="inlineStr">
        <is>
          <t>Soporte anual</t>
        </is>
      </c>
      <c r="H56" t="inlineStr">
        <is>
          <t>Telefonía para anuncios prensa</t>
        </is>
      </c>
      <c r="I56" s="5" t="n">
        <v>3168.54</v>
      </c>
      <c r="J56" s="3" t="n">
        <v>0.21</v>
      </c>
      <c r="K56" s="5">
        <f>ROUND(I56*(1+J56),2)</f>
        <v/>
      </c>
      <c r="L56" t="inlineStr">
        <is>
          <t>Variable</t>
        </is>
      </c>
      <c r="M56" t="inlineStr">
        <is>
          <t>Marketing</t>
        </is>
      </c>
      <c r="N56" t="inlineStr">
        <is>
          <t>Centro de prensa</t>
        </is>
      </c>
    </row>
    <row r="57">
      <c r="A57" t="inlineStr">
        <is>
          <t>GAS-0056</t>
        </is>
      </c>
      <c r="B57" s="2" t="n">
        <v>45520</v>
      </c>
      <c r="C57" t="inlineStr">
        <is>
          <t>Marketing</t>
        </is>
      </c>
      <c r="D57" t="inlineStr">
        <is>
          <t>Ads prensa local</t>
        </is>
      </c>
      <c r="E57" t="inlineStr">
        <is>
          <t>SEO Metrics</t>
        </is>
      </c>
      <c r="F57" t="inlineStr">
        <is>
          <t>Anuncios RRHH</t>
        </is>
      </c>
      <c r="G57" t="inlineStr">
        <is>
          <t>Proyecto puntual</t>
        </is>
      </c>
      <c r="H57" t="inlineStr">
        <is>
          <t>Ads prensa local para anuncios rrhh</t>
        </is>
      </c>
      <c r="I57" s="5" t="n">
        <v>6475.16</v>
      </c>
      <c r="J57" s="3" t="n">
        <v>0.1</v>
      </c>
      <c r="K57" s="5">
        <f>ROUND(I57*(1+J57),2)</f>
        <v/>
      </c>
      <c r="L57" t="inlineStr">
        <is>
          <t>Variable</t>
        </is>
      </c>
      <c r="M57" t="inlineStr">
        <is>
          <t>Tecnología</t>
        </is>
      </c>
      <c r="N57" t="inlineStr">
        <is>
          <t>Microsite RRHH</t>
        </is>
      </c>
    </row>
    <row r="58">
      <c r="A58" t="inlineStr">
        <is>
          <t>GAS-0057</t>
        </is>
      </c>
      <c r="B58" s="2" t="n">
        <v>45568</v>
      </c>
      <c r="C58" t="inlineStr">
        <is>
          <t>Marketing</t>
        </is>
      </c>
      <c r="D58" t="inlineStr">
        <is>
          <t>Ads prensa local</t>
        </is>
      </c>
      <c r="E58" t="inlineStr">
        <is>
          <t>IntraSys</t>
        </is>
      </c>
      <c r="F58" t="inlineStr">
        <is>
          <t>Traducciones</t>
        </is>
      </c>
      <c r="G58" t="inlineStr">
        <is>
          <t>Proyecto puntual</t>
        </is>
      </c>
      <c r="H58" t="inlineStr">
        <is>
          <t>Ads prensa local para traducciones</t>
        </is>
      </c>
      <c r="I58" s="5" t="n">
        <v>8783.65</v>
      </c>
      <c r="J58" s="3" t="n">
        <v>0</v>
      </c>
      <c r="K58" s="5">
        <f>ROUND(I58*(1+J58),2)</f>
        <v/>
      </c>
      <c r="L58" t="inlineStr">
        <is>
          <t>Variable</t>
        </is>
      </c>
      <c r="M58" t="inlineStr">
        <is>
          <t>Administración</t>
        </is>
      </c>
      <c r="N58" t="inlineStr">
        <is>
          <t>Portal internacional</t>
        </is>
      </c>
    </row>
    <row r="59">
      <c r="A59" t="inlineStr">
        <is>
          <t>GAS-0058</t>
        </is>
      </c>
      <c r="B59" s="2" t="n">
        <v>45663</v>
      </c>
      <c r="C59" t="inlineStr">
        <is>
          <t>Marketing</t>
        </is>
      </c>
      <c r="D59" t="inlineStr">
        <is>
          <t>Ads Google</t>
        </is>
      </c>
      <c r="E59" t="inlineStr">
        <is>
          <t>TVSpot Studio</t>
        </is>
      </c>
      <c r="F59" t="inlineStr">
        <is>
          <t>Mantenimiento web</t>
        </is>
      </c>
      <c r="G59" t="inlineStr">
        <is>
          <t>Soporte anual</t>
        </is>
      </c>
      <c r="H59" t="inlineStr">
        <is>
          <t>Ads Google para mantenimiento web</t>
        </is>
      </c>
      <c r="I59" s="5" t="n">
        <v>7232.29</v>
      </c>
      <c r="J59" s="3" t="n">
        <v>0</v>
      </c>
      <c r="K59" s="5">
        <f>ROUND(I59*(1+J59),2)</f>
        <v/>
      </c>
      <c r="L59" t="inlineStr">
        <is>
          <t>Fijo</t>
        </is>
      </c>
      <c r="M59" t="inlineStr">
        <is>
          <t>Tecnología</t>
        </is>
      </c>
      <c r="N59" t="inlineStr">
        <is>
          <t>Centro de prensa</t>
        </is>
      </c>
    </row>
    <row r="60">
      <c r="A60" t="inlineStr">
        <is>
          <t>GAS-0059</t>
        </is>
      </c>
      <c r="B60" s="2" t="n">
        <v>45524</v>
      </c>
      <c r="C60" t="inlineStr">
        <is>
          <t>Marketing</t>
        </is>
      </c>
      <c r="D60" t="inlineStr">
        <is>
          <t>Ads prensa local</t>
        </is>
      </c>
      <c r="E60" t="inlineStr">
        <is>
          <t>AdVision</t>
        </is>
      </c>
      <c r="F60" t="inlineStr">
        <is>
          <t>Traducciones</t>
        </is>
      </c>
      <c r="G60" t="inlineStr">
        <is>
          <t>Proyecto puntual</t>
        </is>
      </c>
      <c r="H60" t="inlineStr">
        <is>
          <t>Ads prensa local para traducciones</t>
        </is>
      </c>
      <c r="I60" s="5" t="n">
        <v>1759.57</v>
      </c>
      <c r="J60" s="3" t="n">
        <v>0.1</v>
      </c>
      <c r="K60" s="5">
        <f>ROUND(I60*(1+J60),2)</f>
        <v/>
      </c>
      <c r="L60" t="inlineStr">
        <is>
          <t>Fijo</t>
        </is>
      </c>
      <c r="M60" t="inlineStr">
        <is>
          <t>Tecnología</t>
        </is>
      </c>
      <c r="N60" t="inlineStr">
        <is>
          <t>Centro de prensa</t>
        </is>
      </c>
    </row>
    <row r="61">
      <c r="A61" t="inlineStr">
        <is>
          <t>GAS-0060</t>
        </is>
      </c>
      <c r="B61" s="2" t="n">
        <v>45713</v>
      </c>
      <c r="C61" t="inlineStr">
        <is>
          <t>Personal</t>
        </is>
      </c>
      <c r="D61" t="inlineStr">
        <is>
          <t>Formación</t>
        </is>
      </c>
      <c r="E61" t="inlineStr">
        <is>
          <t>AdVision</t>
        </is>
      </c>
      <c r="F61" t="inlineStr">
        <is>
          <t>Publicación de noticias</t>
        </is>
      </c>
      <c r="G61" t="inlineStr">
        <is>
          <t>Campaña</t>
        </is>
      </c>
      <c r="H61" t="inlineStr">
        <is>
          <t>Formación para publicación de noticias</t>
        </is>
      </c>
      <c r="I61" s="5" t="n">
        <v>6414.76</v>
      </c>
      <c r="J61" s="3" t="n">
        <v>0</v>
      </c>
      <c r="K61" s="5">
        <f>ROUND(I61*(1+J61),2)</f>
        <v/>
      </c>
      <c r="L61" t="inlineStr">
        <is>
          <t>Fijo</t>
        </is>
      </c>
      <c r="M61" t="inlineStr">
        <is>
          <t>Marketing</t>
        </is>
      </c>
      <c r="N61" t="inlineStr">
        <is>
          <t>Microsite RRHH</t>
        </is>
      </c>
    </row>
    <row r="62">
      <c r="A62" t="inlineStr">
        <is>
          <t>GAS-0061</t>
        </is>
      </c>
      <c r="B62" s="2" t="n">
        <v>45593</v>
      </c>
      <c r="C62" t="inlineStr">
        <is>
          <t>Personal</t>
        </is>
      </c>
      <c r="D62" t="inlineStr">
        <is>
          <t>Salarios</t>
        </is>
      </c>
      <c r="E62" t="inlineStr">
        <is>
          <t>NominaPlus</t>
        </is>
      </c>
      <c r="F62" t="inlineStr">
        <is>
          <t>Anuncios prensa</t>
        </is>
      </c>
      <c r="G62" t="inlineStr">
        <is>
          <t>Soporte anual</t>
        </is>
      </c>
      <c r="H62" t="inlineStr">
        <is>
          <t>Salarios para anuncios prensa</t>
        </is>
      </c>
      <c r="I62" s="5" t="n">
        <v>7686.12</v>
      </c>
      <c r="J62" s="3" t="n">
        <v>0.21</v>
      </c>
      <c r="K62" s="5">
        <f>ROUND(I62*(1+J62),2)</f>
        <v/>
      </c>
      <c r="L62" t="inlineStr">
        <is>
          <t>Variable</t>
        </is>
      </c>
      <c r="M62" t="inlineStr">
        <is>
          <t>Administración</t>
        </is>
      </c>
      <c r="N62" t="inlineStr">
        <is>
          <t>Intranet operaciones</t>
        </is>
      </c>
    </row>
    <row r="63">
      <c r="A63" t="inlineStr">
        <is>
          <t>GAS-0062</t>
        </is>
      </c>
      <c r="B63" s="2" t="n">
        <v>45526</v>
      </c>
      <c r="C63" t="inlineStr">
        <is>
          <t>Marketing</t>
        </is>
      </c>
      <c r="D63" t="inlineStr">
        <is>
          <t>Producción TV</t>
        </is>
      </c>
      <c r="E63" t="inlineStr">
        <is>
          <t>MediaCloud</t>
        </is>
      </c>
      <c r="F63" t="inlineStr">
        <is>
          <t>Anuncios internet</t>
        </is>
      </c>
      <c r="G63" t="inlineStr">
        <is>
          <t>Soporte anual</t>
        </is>
      </c>
      <c r="H63" t="inlineStr">
        <is>
          <t>Producción TV para anuncios internet</t>
        </is>
      </c>
      <c r="I63" s="5" t="n">
        <v>2205.26</v>
      </c>
      <c r="J63" s="3" t="n">
        <v>0.1</v>
      </c>
      <c r="K63" s="5">
        <f>ROUND(I63*(1+J63),2)</f>
        <v/>
      </c>
      <c r="L63" t="inlineStr">
        <is>
          <t>Fijo</t>
        </is>
      </c>
      <c r="M63" t="inlineStr">
        <is>
          <t>Comercial</t>
        </is>
      </c>
      <c r="N63" t="inlineStr">
        <is>
          <t>Intranet operaciones</t>
        </is>
      </c>
    </row>
    <row r="64">
      <c r="A64" t="inlineStr">
        <is>
          <t>GAS-0063</t>
        </is>
      </c>
      <c r="B64" s="2" t="n">
        <v>45584</v>
      </c>
      <c r="C64" t="inlineStr">
        <is>
          <t>Tecnología</t>
        </is>
      </c>
      <c r="D64" t="inlineStr">
        <is>
          <t>Licencias CMS</t>
        </is>
      </c>
      <c r="E64" t="inlineStr">
        <is>
          <t>IntraSys</t>
        </is>
      </c>
      <c r="F64" t="inlineStr">
        <is>
          <t>Anuncios TV</t>
        </is>
      </c>
      <c r="G64" t="inlineStr">
        <is>
          <t>Suscripción mensual</t>
        </is>
      </c>
      <c r="H64" t="inlineStr">
        <is>
          <t>Licencias CMS para anuncios tv</t>
        </is>
      </c>
      <c r="I64" s="5" t="n">
        <v>2288.23</v>
      </c>
      <c r="J64" s="3" t="n">
        <v>0.1</v>
      </c>
      <c r="K64" s="5">
        <f>ROUND(I64*(1+J64),2)</f>
        <v/>
      </c>
      <c r="L64" t="inlineStr">
        <is>
          <t>Fijo</t>
        </is>
      </c>
      <c r="M64" t="inlineStr">
        <is>
          <t>Operaciones</t>
        </is>
      </c>
      <c r="N64" t="inlineStr">
        <is>
          <t>Portal internacional</t>
        </is>
      </c>
    </row>
    <row r="65">
      <c r="A65" t="inlineStr">
        <is>
          <t>GAS-0064</t>
        </is>
      </c>
      <c r="B65" s="2" t="n">
        <v>45448</v>
      </c>
      <c r="C65" t="inlineStr">
        <is>
          <t>Personal</t>
        </is>
      </c>
      <c r="D65" t="inlineStr">
        <is>
          <t>Seguridad Social</t>
        </is>
      </c>
      <c r="E65" t="inlineStr">
        <is>
          <t>IntraSys</t>
        </is>
      </c>
      <c r="F65" t="inlineStr">
        <is>
          <t>Generación de noticias</t>
        </is>
      </c>
      <c r="G65" t="inlineStr">
        <is>
          <t>Proyecto puntual</t>
        </is>
      </c>
      <c r="H65" t="inlineStr">
        <is>
          <t>Seguridad Social para generación de noticias</t>
        </is>
      </c>
      <c r="I65" s="5" t="n">
        <v>3346.06</v>
      </c>
      <c r="J65" s="3" t="n">
        <v>0.21</v>
      </c>
      <c r="K65" s="5">
        <f>ROUND(I65*(1+J65),2)</f>
        <v/>
      </c>
      <c r="L65" t="inlineStr">
        <is>
          <t>Variable</t>
        </is>
      </c>
      <c r="M65" t="inlineStr">
        <is>
          <t>Operaciones</t>
        </is>
      </c>
      <c r="N65" t="inlineStr">
        <is>
          <t>Intranet comercial</t>
        </is>
      </c>
    </row>
    <row r="66">
      <c r="A66" t="inlineStr">
        <is>
          <t>GAS-0065</t>
        </is>
      </c>
      <c r="B66" s="2" t="n">
        <v>45535</v>
      </c>
      <c r="C66" t="inlineStr">
        <is>
          <t>Tecnología</t>
        </is>
      </c>
      <c r="D66" t="inlineStr">
        <is>
          <t>Hosting</t>
        </is>
      </c>
      <c r="E66" t="inlineStr">
        <is>
          <t>Redacción Global</t>
        </is>
      </c>
      <c r="F66" t="inlineStr">
        <is>
          <t>Mantenimiento web</t>
        </is>
      </c>
      <c r="G66" t="inlineStr">
        <is>
          <t>Soporte anual</t>
        </is>
      </c>
      <c r="H66" t="inlineStr">
        <is>
          <t>Hosting para mantenimiento web</t>
        </is>
      </c>
      <c r="I66" s="5" t="n">
        <v>1409.5</v>
      </c>
      <c r="J66" s="3" t="n">
        <v>0.21</v>
      </c>
      <c r="K66" s="5">
        <f>ROUND(I66*(1+J66),2)</f>
        <v/>
      </c>
      <c r="L66" t="inlineStr">
        <is>
          <t>Fijo</t>
        </is>
      </c>
      <c r="M66" t="inlineStr">
        <is>
          <t>Administración</t>
        </is>
      </c>
      <c r="N66" t="inlineStr">
        <is>
          <t>Intranet operaciones</t>
        </is>
      </c>
    </row>
    <row r="67">
      <c r="A67" t="inlineStr">
        <is>
          <t>GAS-0066</t>
        </is>
      </c>
      <c r="B67" s="2" t="n">
        <v>45411</v>
      </c>
      <c r="C67" t="inlineStr">
        <is>
          <t>Marketing</t>
        </is>
      </c>
      <c r="D67" t="inlineStr">
        <is>
          <t>Producción TV</t>
        </is>
      </c>
      <c r="E67" t="inlineStr">
        <is>
          <t>TVSpot Studio</t>
        </is>
      </c>
      <c r="F67" t="inlineStr">
        <is>
          <t>Publicación de noticias</t>
        </is>
      </c>
      <c r="G67" t="inlineStr">
        <is>
          <t>Retainer trimestral</t>
        </is>
      </c>
      <c r="H67" t="inlineStr">
        <is>
          <t>Producción TV para publicación de noticias</t>
        </is>
      </c>
      <c r="I67" s="5" t="n">
        <v>9657.799999999999</v>
      </c>
      <c r="J67" s="3" t="n">
        <v>0.1</v>
      </c>
      <c r="K67" s="5">
        <f>ROUND(I67*(1+J67),2)</f>
        <v/>
      </c>
      <c r="L67" t="inlineStr">
        <is>
          <t>Fijo</t>
        </is>
      </c>
      <c r="M67" t="inlineStr">
        <is>
          <t>Marketing</t>
        </is>
      </c>
      <c r="N67" t="inlineStr">
        <is>
          <t>Centro de prensa</t>
        </is>
      </c>
    </row>
    <row r="68">
      <c r="A68" t="inlineStr">
        <is>
          <t>GAS-0067</t>
        </is>
      </c>
      <c r="B68" s="2" t="n">
        <v>45578</v>
      </c>
      <c r="C68" t="inlineStr">
        <is>
          <t>Marketing</t>
        </is>
      </c>
      <c r="D68" t="inlineStr">
        <is>
          <t>Ads Google</t>
        </is>
      </c>
      <c r="E68" t="inlineStr">
        <is>
          <t>LinguaTech</t>
        </is>
      </c>
      <c r="F68" t="inlineStr">
        <is>
          <t>Mantenimiento web</t>
        </is>
      </c>
      <c r="G68" t="inlineStr">
        <is>
          <t>Proyecto puntual</t>
        </is>
      </c>
      <c r="H68" t="inlineStr">
        <is>
          <t>Ads Google para mantenimiento web</t>
        </is>
      </c>
      <c r="I68" s="5" t="n">
        <v>8576.57</v>
      </c>
      <c r="J68" s="3" t="n">
        <v>0.1</v>
      </c>
      <c r="K68" s="5">
        <f>ROUND(I68*(1+J68),2)</f>
        <v/>
      </c>
      <c r="L68" t="inlineStr">
        <is>
          <t>Fijo</t>
        </is>
      </c>
      <c r="M68" t="inlineStr">
        <is>
          <t>Administración</t>
        </is>
      </c>
      <c r="N68" t="inlineStr">
        <is>
          <t>Campaña empleo</t>
        </is>
      </c>
    </row>
    <row r="69">
      <c r="A69" t="inlineStr">
        <is>
          <t>GAS-0068</t>
        </is>
      </c>
      <c r="B69" s="2" t="n">
        <v>45417</v>
      </c>
      <c r="C69" t="inlineStr">
        <is>
          <t>Marketing</t>
        </is>
      </c>
      <c r="D69" t="inlineStr">
        <is>
          <t>Diseño creativo</t>
        </is>
      </c>
      <c r="E69" t="inlineStr">
        <is>
          <t>Redacción Global</t>
        </is>
      </c>
      <c r="F69" t="inlineStr">
        <is>
          <t>Mantenimiento web</t>
        </is>
      </c>
      <c r="G69" t="inlineStr">
        <is>
          <t>Soporte anual</t>
        </is>
      </c>
      <c r="H69" t="inlineStr">
        <is>
          <t>Diseño creativo para mantenimiento web</t>
        </is>
      </c>
      <c r="I69" s="5" t="n">
        <v>2403</v>
      </c>
      <c r="J69" s="3" t="n">
        <v>0.21</v>
      </c>
      <c r="K69" s="5">
        <f>ROUND(I69*(1+J69),2)</f>
        <v/>
      </c>
      <c r="L69" t="inlineStr">
        <is>
          <t>Fijo</t>
        </is>
      </c>
      <c r="M69" t="inlineStr">
        <is>
          <t>Administración</t>
        </is>
      </c>
      <c r="N69" t="inlineStr">
        <is>
          <t>Portal internacional</t>
        </is>
      </c>
    </row>
    <row r="70">
      <c r="A70" t="inlineStr">
        <is>
          <t>GAS-0069</t>
        </is>
      </c>
      <c r="B70" s="2" t="n">
        <v>45454</v>
      </c>
      <c r="C70" t="inlineStr">
        <is>
          <t>Tecnología</t>
        </is>
      </c>
      <c r="D70" t="inlineStr">
        <is>
          <t>Hosting</t>
        </is>
      </c>
      <c r="E70" t="inlineStr">
        <is>
          <t>TVSpot Studio</t>
        </is>
      </c>
      <c r="F70" t="inlineStr">
        <is>
          <t>Anuncios internet</t>
        </is>
      </c>
      <c r="G70" t="inlineStr">
        <is>
          <t>Retainer trimestral</t>
        </is>
      </c>
      <c r="H70" t="inlineStr">
        <is>
          <t>Hosting para anuncios internet</t>
        </is>
      </c>
      <c r="I70" s="5" t="n">
        <v>133.97</v>
      </c>
      <c r="J70" s="3" t="n">
        <v>0</v>
      </c>
      <c r="K70" s="5">
        <f>ROUND(I70*(1+J70),2)</f>
        <v/>
      </c>
      <c r="L70" t="inlineStr">
        <is>
          <t>Fijo</t>
        </is>
      </c>
      <c r="M70" t="inlineStr">
        <is>
          <t>Operaciones</t>
        </is>
      </c>
      <c r="N70" t="inlineStr">
        <is>
          <t>Sección noticias</t>
        </is>
      </c>
    </row>
    <row r="71">
      <c r="A71" t="inlineStr">
        <is>
          <t>GAS-0070</t>
        </is>
      </c>
      <c r="B71" s="2" t="n">
        <v>45458</v>
      </c>
      <c r="C71" t="inlineStr">
        <is>
          <t>Personal</t>
        </is>
      </c>
      <c r="D71" t="inlineStr">
        <is>
          <t>Salarios</t>
        </is>
      </c>
      <c r="E71" t="inlineStr">
        <is>
          <t>MediaCloud</t>
        </is>
      </c>
      <c r="F71" t="inlineStr">
        <is>
          <t>Generación de noticias</t>
        </is>
      </c>
      <c r="G71" t="inlineStr">
        <is>
          <t>Suscripción mensual</t>
        </is>
      </c>
      <c r="H71" t="inlineStr">
        <is>
          <t>Salarios para generación de noticias</t>
        </is>
      </c>
      <c r="I71" s="5" t="n">
        <v>6808.62</v>
      </c>
      <c r="J71" s="3" t="n">
        <v>0</v>
      </c>
      <c r="K71" s="5">
        <f>ROUND(I71*(1+J71),2)</f>
        <v/>
      </c>
      <c r="L71" t="inlineStr">
        <is>
          <t>Variable</t>
        </is>
      </c>
      <c r="M71" t="inlineStr">
        <is>
          <t>Marketing</t>
        </is>
      </c>
      <c r="N71" t="inlineStr">
        <is>
          <t>Intranet comercial</t>
        </is>
      </c>
    </row>
    <row r="72">
      <c r="A72" t="inlineStr">
        <is>
          <t>GAS-0071</t>
        </is>
      </c>
      <c r="B72" s="2" t="n">
        <v>45597</v>
      </c>
      <c r="C72" t="inlineStr">
        <is>
          <t>Personal</t>
        </is>
      </c>
      <c r="D72" t="inlineStr">
        <is>
          <t>Seguridad Social</t>
        </is>
      </c>
      <c r="E72" t="inlineStr">
        <is>
          <t>CloudPulse</t>
        </is>
      </c>
      <c r="F72" t="inlineStr">
        <is>
          <t>Anuncios RRHH</t>
        </is>
      </c>
      <c r="G72" t="inlineStr">
        <is>
          <t>Proyecto puntual</t>
        </is>
      </c>
      <c r="H72" t="inlineStr">
        <is>
          <t>Seguridad Social para anuncios rrhh</t>
        </is>
      </c>
      <c r="I72" s="5" t="n">
        <v>3082.92</v>
      </c>
      <c r="J72" s="3" t="n">
        <v>0.21</v>
      </c>
      <c r="K72" s="5">
        <f>ROUND(I72*(1+J72),2)</f>
        <v/>
      </c>
      <c r="L72" t="inlineStr">
        <is>
          <t>Variable</t>
        </is>
      </c>
      <c r="M72" t="inlineStr">
        <is>
          <t>Operaciones</t>
        </is>
      </c>
      <c r="N72" t="inlineStr">
        <is>
          <t>Centro de prensa</t>
        </is>
      </c>
    </row>
    <row r="73">
      <c r="A73" t="inlineStr">
        <is>
          <t>GAS-0072</t>
        </is>
      </c>
      <c r="B73" s="2" t="n">
        <v>45429</v>
      </c>
      <c r="C73" t="inlineStr">
        <is>
          <t>Personal</t>
        </is>
      </c>
      <c r="D73" t="inlineStr">
        <is>
          <t>Seguridad Social</t>
        </is>
      </c>
      <c r="E73" t="inlineStr">
        <is>
          <t>NominaPlus</t>
        </is>
      </c>
      <c r="F73" t="inlineStr">
        <is>
          <t>Anuncios TV</t>
        </is>
      </c>
      <c r="G73" t="inlineStr">
        <is>
          <t>Soporte anual</t>
        </is>
      </c>
      <c r="H73" t="inlineStr">
        <is>
          <t>Seguridad Social para anuncios tv</t>
        </is>
      </c>
      <c r="I73" s="5" t="n">
        <v>4171.66</v>
      </c>
      <c r="J73" s="3" t="n">
        <v>0</v>
      </c>
      <c r="K73" s="5">
        <f>ROUND(I73*(1+J73),2)</f>
        <v/>
      </c>
      <c r="L73" t="inlineStr">
        <is>
          <t>Fijo</t>
        </is>
      </c>
      <c r="M73" t="inlineStr">
        <is>
          <t>Administración</t>
        </is>
      </c>
      <c r="N73" t="inlineStr">
        <is>
          <t>Sección noticias</t>
        </is>
      </c>
    </row>
    <row r="74">
      <c r="A74" t="inlineStr">
        <is>
          <t>GAS-0073</t>
        </is>
      </c>
      <c r="B74" s="2" t="n">
        <v>45378</v>
      </c>
      <c r="C74" t="inlineStr">
        <is>
          <t>Personal</t>
        </is>
      </c>
      <c r="D74" t="inlineStr">
        <is>
          <t>Seguridad Social</t>
        </is>
      </c>
      <c r="E74" t="inlineStr">
        <is>
          <t>NoticiasPro</t>
        </is>
      </c>
      <c r="F74" t="inlineStr">
        <is>
          <t>Anuncios internet</t>
        </is>
      </c>
      <c r="G74" t="inlineStr">
        <is>
          <t>Soporte anual</t>
        </is>
      </c>
      <c r="H74" t="inlineStr">
        <is>
          <t>Seguridad Social para anuncios internet</t>
        </is>
      </c>
      <c r="I74" s="5" t="n">
        <v>1812.53</v>
      </c>
      <c r="J74" s="3" t="n">
        <v>0.21</v>
      </c>
      <c r="K74" s="5">
        <f>ROUND(I74*(1+J74),2)</f>
        <v/>
      </c>
      <c r="L74" t="inlineStr">
        <is>
          <t>Variable</t>
        </is>
      </c>
      <c r="M74" t="inlineStr">
        <is>
          <t>Operaciones</t>
        </is>
      </c>
      <c r="N74" t="inlineStr">
        <is>
          <t>Portal corporativo</t>
        </is>
      </c>
    </row>
    <row r="75">
      <c r="A75" t="inlineStr">
        <is>
          <t>GAS-0074</t>
        </is>
      </c>
      <c r="B75" s="2" t="n">
        <v>45486</v>
      </c>
      <c r="C75" t="inlineStr">
        <is>
          <t>Operaciones</t>
        </is>
      </c>
      <c r="D75" t="inlineStr">
        <is>
          <t>Subtitulación</t>
        </is>
      </c>
      <c r="E75" t="inlineStr">
        <is>
          <t>AdVision</t>
        </is>
      </c>
      <c r="F75" t="inlineStr">
        <is>
          <t>Publicación de noticias</t>
        </is>
      </c>
      <c r="G75" t="inlineStr">
        <is>
          <t>Proyecto puntual</t>
        </is>
      </c>
      <c r="H75" t="inlineStr">
        <is>
          <t>Subtitulación para publicación de noticias</t>
        </is>
      </c>
      <c r="I75" s="5" t="n">
        <v>3647.53</v>
      </c>
      <c r="J75" s="3" t="n">
        <v>0.1</v>
      </c>
      <c r="K75" s="5">
        <f>ROUND(I75*(1+J75),2)</f>
        <v/>
      </c>
      <c r="L75" t="inlineStr">
        <is>
          <t>Variable</t>
        </is>
      </c>
      <c r="M75" t="inlineStr">
        <is>
          <t>Operaciones</t>
        </is>
      </c>
      <c r="N75" t="inlineStr">
        <is>
          <t>Sección noticias</t>
        </is>
      </c>
    </row>
    <row r="76">
      <c r="A76" t="inlineStr">
        <is>
          <t>GAS-0075</t>
        </is>
      </c>
      <c r="B76" s="2" t="n">
        <v>45435</v>
      </c>
      <c r="C76" t="inlineStr">
        <is>
          <t>Marketing</t>
        </is>
      </c>
      <c r="D76" t="inlineStr">
        <is>
          <t>Diseño creativo</t>
        </is>
      </c>
      <c r="E76" t="inlineStr">
        <is>
          <t>TVSpot Studio</t>
        </is>
      </c>
      <c r="F76" t="inlineStr">
        <is>
          <t>Traducciones</t>
        </is>
      </c>
      <c r="G76" t="inlineStr">
        <is>
          <t>Proyecto puntual</t>
        </is>
      </c>
      <c r="H76" t="inlineStr">
        <is>
          <t>Diseño creativo para traducciones</t>
        </is>
      </c>
      <c r="I76" s="5" t="n">
        <v>1738.83</v>
      </c>
      <c r="J76" s="3" t="n">
        <v>0.1</v>
      </c>
      <c r="K76" s="5">
        <f>ROUND(I76*(1+J76),2)</f>
        <v/>
      </c>
      <c r="L76" t="inlineStr">
        <is>
          <t>Variable</t>
        </is>
      </c>
      <c r="M76" t="inlineStr">
        <is>
          <t>Tecnología</t>
        </is>
      </c>
      <c r="N76" t="inlineStr">
        <is>
          <t>Centro de prensa</t>
        </is>
      </c>
    </row>
    <row r="77">
      <c r="A77" t="inlineStr">
        <is>
          <t>GAS-0076</t>
        </is>
      </c>
      <c r="B77" s="2" t="n">
        <v>45300</v>
      </c>
      <c r="C77" t="inlineStr">
        <is>
          <t>Administración</t>
        </is>
      </c>
      <c r="D77" t="inlineStr">
        <is>
          <t>Gestoría</t>
        </is>
      </c>
      <c r="E77" t="inlineStr">
        <is>
          <t>Redacción Global</t>
        </is>
      </c>
      <c r="F77" t="inlineStr">
        <is>
          <t>Generación de noticias</t>
        </is>
      </c>
      <c r="G77" t="inlineStr">
        <is>
          <t>Proyecto puntual</t>
        </is>
      </c>
      <c r="H77" t="inlineStr">
        <is>
          <t>Gestoría para generación de noticias</t>
        </is>
      </c>
      <c r="I77" s="5" t="n">
        <v>2138.35</v>
      </c>
      <c r="J77" s="3" t="n">
        <v>0</v>
      </c>
      <c r="K77" s="5">
        <f>ROUND(I77*(1+J77),2)</f>
        <v/>
      </c>
      <c r="L77" t="inlineStr">
        <is>
          <t>Variable</t>
        </is>
      </c>
      <c r="M77" t="inlineStr">
        <is>
          <t>Operaciones</t>
        </is>
      </c>
      <c r="N77" t="inlineStr">
        <is>
          <t>Portal corporativo</t>
        </is>
      </c>
    </row>
    <row r="78">
      <c r="A78" t="inlineStr">
        <is>
          <t>GAS-0077</t>
        </is>
      </c>
      <c r="B78" s="2" t="n">
        <v>45624</v>
      </c>
      <c r="C78" t="inlineStr">
        <is>
          <t>Marketing</t>
        </is>
      </c>
      <c r="D78" t="inlineStr">
        <is>
          <t>Producción TV</t>
        </is>
      </c>
      <c r="E78" t="inlineStr">
        <is>
          <t>SEO Metrics</t>
        </is>
      </c>
      <c r="F78" t="inlineStr">
        <is>
          <t>Anuncios TV</t>
        </is>
      </c>
      <c r="G78" t="inlineStr">
        <is>
          <t>Suscripción mensual</t>
        </is>
      </c>
      <c r="H78" t="inlineStr">
        <is>
          <t>Producción TV para anuncios tv</t>
        </is>
      </c>
      <c r="I78" s="5" t="n">
        <v>9220.84</v>
      </c>
      <c r="J78" s="3" t="n">
        <v>0.1</v>
      </c>
      <c r="K78" s="5">
        <f>ROUND(I78*(1+J78),2)</f>
        <v/>
      </c>
      <c r="L78" t="inlineStr">
        <is>
          <t>Fijo</t>
        </is>
      </c>
      <c r="M78" t="inlineStr">
        <is>
          <t>Marketing</t>
        </is>
      </c>
      <c r="N78" t="inlineStr">
        <is>
          <t>Intranet comercial</t>
        </is>
      </c>
    </row>
    <row r="79">
      <c r="A79" t="inlineStr">
        <is>
          <t>GAS-0078</t>
        </is>
      </c>
      <c r="B79" s="2" t="n">
        <v>45481</v>
      </c>
      <c r="C79" t="inlineStr">
        <is>
          <t>Tecnología</t>
        </is>
      </c>
      <c r="D79" t="inlineStr">
        <is>
          <t>Software traducción</t>
        </is>
      </c>
      <c r="E79" t="inlineStr">
        <is>
          <t>NoticiasPro</t>
        </is>
      </c>
      <c r="F79" t="inlineStr">
        <is>
          <t>Anuncios RRHH</t>
        </is>
      </c>
      <c r="G79" t="inlineStr">
        <is>
          <t>Campaña</t>
        </is>
      </c>
      <c r="H79" t="inlineStr">
        <is>
          <t>Software traducción para anuncios rrhh</t>
        </is>
      </c>
      <c r="I79" s="5" t="n">
        <v>2026.82</v>
      </c>
      <c r="J79" s="3" t="n">
        <v>0</v>
      </c>
      <c r="K79" s="5">
        <f>ROUND(I79*(1+J79),2)</f>
        <v/>
      </c>
      <c r="L79" t="inlineStr">
        <is>
          <t>Fijo</t>
        </is>
      </c>
      <c r="M79" t="inlineStr">
        <is>
          <t>Operaciones</t>
        </is>
      </c>
      <c r="N79" t="inlineStr">
        <is>
          <t>Centro de prensa</t>
        </is>
      </c>
    </row>
    <row r="80">
      <c r="A80" t="inlineStr">
        <is>
          <t>GAS-0079</t>
        </is>
      </c>
      <c r="B80" s="2" t="n">
        <v>45544</v>
      </c>
      <c r="C80" t="inlineStr">
        <is>
          <t>Marketing</t>
        </is>
      </c>
      <c r="D80" t="inlineStr">
        <is>
          <t>Ads prensa local</t>
        </is>
      </c>
      <c r="E80" t="inlineStr">
        <is>
          <t>AdVision</t>
        </is>
      </c>
      <c r="F80" t="inlineStr">
        <is>
          <t>Mantenimiento intranets</t>
        </is>
      </c>
      <c r="G80" t="inlineStr">
        <is>
          <t>Suscripción mensual</t>
        </is>
      </c>
      <c r="H80" t="inlineStr">
        <is>
          <t>Ads prensa local para mantenimiento intranets</t>
        </is>
      </c>
      <c r="I80" s="5" t="n">
        <v>3847.19</v>
      </c>
      <c r="J80" s="3" t="n">
        <v>0.21</v>
      </c>
      <c r="K80" s="5">
        <f>ROUND(I80*(1+J80),2)</f>
        <v/>
      </c>
      <c r="L80" t="inlineStr">
        <is>
          <t>Variable</t>
        </is>
      </c>
      <c r="M80" t="inlineStr">
        <is>
          <t>Administración</t>
        </is>
      </c>
      <c r="N80" t="inlineStr">
        <is>
          <t>Campaña empleo</t>
        </is>
      </c>
    </row>
    <row r="81">
      <c r="A81" t="inlineStr">
        <is>
          <t>GAS-0080</t>
        </is>
      </c>
      <c r="B81" s="2" t="n">
        <v>45670</v>
      </c>
      <c r="C81" t="inlineStr">
        <is>
          <t>Personal</t>
        </is>
      </c>
      <c r="D81" t="inlineStr">
        <is>
          <t>Formación</t>
        </is>
      </c>
      <c r="E81" t="inlineStr">
        <is>
          <t>CloudPulse</t>
        </is>
      </c>
      <c r="F81" t="inlineStr">
        <is>
          <t>Anuncios prensa</t>
        </is>
      </c>
      <c r="G81" t="inlineStr">
        <is>
          <t>Soporte anual</t>
        </is>
      </c>
      <c r="H81" t="inlineStr">
        <is>
          <t>Formación para anuncios prensa</t>
        </is>
      </c>
      <c r="I81" s="5" t="n">
        <v>2009.91</v>
      </c>
      <c r="J81" s="3" t="n">
        <v>0.1</v>
      </c>
      <c r="K81" s="5">
        <f>ROUND(I81*(1+J81),2)</f>
        <v/>
      </c>
      <c r="L81" t="inlineStr">
        <is>
          <t>Fijo</t>
        </is>
      </c>
      <c r="M81" t="inlineStr">
        <is>
          <t>Operaciones</t>
        </is>
      </c>
      <c r="N81" t="inlineStr">
        <is>
          <t>Sección noticias</t>
        </is>
      </c>
    </row>
    <row r="82">
      <c r="A82" t="inlineStr">
        <is>
          <t>GAS-0081</t>
        </is>
      </c>
      <c r="B82" s="2" t="n">
        <v>45726</v>
      </c>
      <c r="C82" t="inlineStr">
        <is>
          <t>Marketing</t>
        </is>
      </c>
      <c r="D82" t="inlineStr">
        <is>
          <t>Ads Google</t>
        </is>
      </c>
      <c r="E82" t="inlineStr">
        <is>
          <t>SEO Metrics</t>
        </is>
      </c>
      <c r="F82" t="inlineStr">
        <is>
          <t>Generación de noticias</t>
        </is>
      </c>
      <c r="G82" t="inlineStr">
        <is>
          <t>Suscripción mensual</t>
        </is>
      </c>
      <c r="H82" t="inlineStr">
        <is>
          <t>Ads Google para generación de noticias</t>
        </is>
      </c>
      <c r="I82" s="5" t="n">
        <v>10607.74</v>
      </c>
      <c r="J82" s="3" t="n">
        <v>0.1</v>
      </c>
      <c r="K82" s="5">
        <f>ROUND(I82*(1+J82),2)</f>
        <v/>
      </c>
      <c r="L82" t="inlineStr">
        <is>
          <t>Variable</t>
        </is>
      </c>
      <c r="M82" t="inlineStr">
        <is>
          <t>Administración</t>
        </is>
      </c>
      <c r="N82" t="inlineStr">
        <is>
          <t>Intranet operaciones</t>
        </is>
      </c>
    </row>
    <row r="83">
      <c r="A83" t="inlineStr">
        <is>
          <t>GAS-0082</t>
        </is>
      </c>
      <c r="B83" s="2" t="n">
        <v>45557</v>
      </c>
      <c r="C83" t="inlineStr">
        <is>
          <t>Personal</t>
        </is>
      </c>
      <c r="D83" t="inlineStr">
        <is>
          <t>Seguridad Social</t>
        </is>
      </c>
      <c r="E83" t="inlineStr">
        <is>
          <t>Legal Iberia</t>
        </is>
      </c>
      <c r="F83" t="inlineStr">
        <is>
          <t>Mantenimiento web</t>
        </is>
      </c>
      <c r="G83" t="inlineStr">
        <is>
          <t>Campaña</t>
        </is>
      </c>
      <c r="H83" t="inlineStr">
        <is>
          <t>Seguridad Social para mantenimiento web</t>
        </is>
      </c>
      <c r="I83" s="5" t="n">
        <v>7433.18</v>
      </c>
      <c r="J83" s="3" t="n">
        <v>0.21</v>
      </c>
      <c r="K83" s="5">
        <f>ROUND(I83*(1+J83),2)</f>
        <v/>
      </c>
      <c r="L83" t="inlineStr">
        <is>
          <t>Fijo</t>
        </is>
      </c>
      <c r="M83" t="inlineStr">
        <is>
          <t>Comercial</t>
        </is>
      </c>
      <c r="N83" t="inlineStr">
        <is>
          <t>Portal corporativo</t>
        </is>
      </c>
    </row>
    <row r="84">
      <c r="A84" t="inlineStr">
        <is>
          <t>GAS-0083</t>
        </is>
      </c>
      <c r="B84" s="2" t="n">
        <v>45304</v>
      </c>
      <c r="C84" t="inlineStr">
        <is>
          <t>Personal</t>
        </is>
      </c>
      <c r="D84" t="inlineStr">
        <is>
          <t>Seguridad Social</t>
        </is>
      </c>
      <c r="E84" t="inlineStr">
        <is>
          <t>Redacción Global</t>
        </is>
      </c>
      <c r="F84" t="inlineStr">
        <is>
          <t>Anuncios TV</t>
        </is>
      </c>
      <c r="G84" t="inlineStr">
        <is>
          <t>Proyecto puntual</t>
        </is>
      </c>
      <c r="H84" t="inlineStr">
        <is>
          <t>Seguridad Social para anuncios tv</t>
        </is>
      </c>
      <c r="I84" s="5" t="n">
        <v>4476.69</v>
      </c>
      <c r="J84" s="3" t="n">
        <v>0.21</v>
      </c>
      <c r="K84" s="5">
        <f>ROUND(I84*(1+J84),2)</f>
        <v/>
      </c>
      <c r="L84" t="inlineStr">
        <is>
          <t>Fijo</t>
        </is>
      </c>
      <c r="M84" t="inlineStr">
        <is>
          <t>Comercial</t>
        </is>
      </c>
      <c r="N84" t="inlineStr">
        <is>
          <t>Campaña empleo</t>
        </is>
      </c>
    </row>
    <row r="85">
      <c r="A85" t="inlineStr">
        <is>
          <t>GAS-0084</t>
        </is>
      </c>
      <c r="B85" s="2" t="n">
        <v>45612</v>
      </c>
      <c r="C85" t="inlineStr">
        <is>
          <t>Personal</t>
        </is>
      </c>
      <c r="D85" t="inlineStr">
        <is>
          <t>Seguridad Social</t>
        </is>
      </c>
      <c r="E85" t="inlineStr">
        <is>
          <t>AdVision</t>
        </is>
      </c>
      <c r="F85" t="inlineStr">
        <is>
          <t>Traducciones</t>
        </is>
      </c>
      <c r="G85" t="inlineStr">
        <is>
          <t>Retainer trimestral</t>
        </is>
      </c>
      <c r="H85" t="inlineStr">
        <is>
          <t>Seguridad Social para traducciones</t>
        </is>
      </c>
      <c r="I85" s="5" t="n">
        <v>5769.76</v>
      </c>
      <c r="J85" s="3" t="n">
        <v>0.21</v>
      </c>
      <c r="K85" s="5">
        <f>ROUND(I85*(1+J85),2)</f>
        <v/>
      </c>
      <c r="L85" t="inlineStr">
        <is>
          <t>Fijo</t>
        </is>
      </c>
      <c r="M85" t="inlineStr">
        <is>
          <t>Marketing</t>
        </is>
      </c>
      <c r="N85" t="inlineStr">
        <is>
          <t>Campaña empleo</t>
        </is>
      </c>
    </row>
    <row r="86">
      <c r="A86" t="inlineStr">
        <is>
          <t>GAS-0085</t>
        </is>
      </c>
      <c r="B86" s="2" t="n">
        <v>45340</v>
      </c>
      <c r="C86" t="inlineStr">
        <is>
          <t>Administración</t>
        </is>
      </c>
      <c r="D86" t="inlineStr">
        <is>
          <t>Alquiler oficina</t>
        </is>
      </c>
      <c r="E86" t="inlineStr">
        <is>
          <t>SEO Metrics</t>
        </is>
      </c>
      <c r="F86" t="inlineStr">
        <is>
          <t>Anuncios RRHH</t>
        </is>
      </c>
      <c r="G86" t="inlineStr">
        <is>
          <t>Campaña</t>
        </is>
      </c>
      <c r="H86" t="inlineStr">
        <is>
          <t>Alquiler oficina para anuncios rrhh</t>
        </is>
      </c>
      <c r="I86" s="5" t="n">
        <v>1591</v>
      </c>
      <c r="J86" s="3" t="n">
        <v>0.1</v>
      </c>
      <c r="K86" s="5">
        <f>ROUND(I86*(1+J86),2)</f>
        <v/>
      </c>
      <c r="L86" t="inlineStr">
        <is>
          <t>Fijo</t>
        </is>
      </c>
      <c r="M86" t="inlineStr">
        <is>
          <t>Operaciones</t>
        </is>
      </c>
      <c r="N86" t="inlineStr">
        <is>
          <t>Portal corporativo</t>
        </is>
      </c>
    </row>
    <row r="87">
      <c r="A87" t="inlineStr">
        <is>
          <t>GAS-0086</t>
        </is>
      </c>
      <c r="B87" s="2" t="n">
        <v>45320</v>
      </c>
      <c r="C87" t="inlineStr">
        <is>
          <t>Operaciones</t>
        </is>
      </c>
      <c r="D87" t="inlineStr">
        <is>
          <t>QA intranet</t>
        </is>
      </c>
      <c r="E87" t="inlineStr">
        <is>
          <t>IntraSys</t>
        </is>
      </c>
      <c r="F87" t="inlineStr">
        <is>
          <t>Anuncios RRHH</t>
        </is>
      </c>
      <c r="G87" t="inlineStr">
        <is>
          <t>Soporte anual</t>
        </is>
      </c>
      <c r="H87" t="inlineStr">
        <is>
          <t>QA intranet para anuncios rrhh</t>
        </is>
      </c>
      <c r="I87" s="5" t="n">
        <v>512.71</v>
      </c>
      <c r="J87" s="3" t="n">
        <v>0.21</v>
      </c>
      <c r="K87" s="5">
        <f>ROUND(I87*(1+J87),2)</f>
        <v/>
      </c>
      <c r="L87" t="inlineStr">
        <is>
          <t>Fijo</t>
        </is>
      </c>
      <c r="M87" t="inlineStr">
        <is>
          <t>Operaciones</t>
        </is>
      </c>
      <c r="N87" t="inlineStr">
        <is>
          <t>Portal corporativo</t>
        </is>
      </c>
    </row>
    <row r="88">
      <c r="A88" t="inlineStr">
        <is>
          <t>GAS-0087</t>
        </is>
      </c>
      <c r="B88" s="2" t="n">
        <v>45611</v>
      </c>
      <c r="C88" t="inlineStr">
        <is>
          <t>Tecnología</t>
        </is>
      </c>
      <c r="D88" t="inlineStr">
        <is>
          <t>Herramientas SEO</t>
        </is>
      </c>
      <c r="E88" t="inlineStr">
        <is>
          <t>Acme Hosting</t>
        </is>
      </c>
      <c r="F88" t="inlineStr">
        <is>
          <t>Anuncios prensa</t>
        </is>
      </c>
      <c r="G88" t="inlineStr">
        <is>
          <t>Campaña</t>
        </is>
      </c>
      <c r="H88" t="inlineStr">
        <is>
          <t>Herramientas SEO para anuncios prensa</t>
        </is>
      </c>
      <c r="I88" s="5" t="n">
        <v>1512.14</v>
      </c>
      <c r="J88" s="3" t="n">
        <v>0.21</v>
      </c>
      <c r="K88" s="5">
        <f>ROUND(I88*(1+J88),2)</f>
        <v/>
      </c>
      <c r="L88" t="inlineStr">
        <is>
          <t>Variable</t>
        </is>
      </c>
      <c r="M88" t="inlineStr">
        <is>
          <t>Marketing</t>
        </is>
      </c>
      <c r="N88" t="inlineStr">
        <is>
          <t>Intranet comercial</t>
        </is>
      </c>
    </row>
    <row r="89">
      <c r="A89" t="inlineStr">
        <is>
          <t>GAS-0088</t>
        </is>
      </c>
      <c r="B89" s="2" t="n">
        <v>45326</v>
      </c>
      <c r="C89" t="inlineStr">
        <is>
          <t>Personal</t>
        </is>
      </c>
      <c r="D89" t="inlineStr">
        <is>
          <t>Formación</t>
        </is>
      </c>
      <c r="E89" t="inlineStr">
        <is>
          <t>CloudPulse</t>
        </is>
      </c>
      <c r="F89" t="inlineStr">
        <is>
          <t>Mantenimiento web</t>
        </is>
      </c>
      <c r="G89" t="inlineStr">
        <is>
          <t>Proyecto puntual</t>
        </is>
      </c>
      <c r="H89" t="inlineStr">
        <is>
          <t>Formación para mantenimiento web</t>
        </is>
      </c>
      <c r="I89" s="5" t="n">
        <v>4514.76</v>
      </c>
      <c r="J89" s="3" t="n">
        <v>0.1</v>
      </c>
      <c r="K89" s="5">
        <f>ROUND(I89*(1+J89),2)</f>
        <v/>
      </c>
      <c r="L89" t="inlineStr">
        <is>
          <t>Fijo</t>
        </is>
      </c>
      <c r="M89" t="inlineStr">
        <is>
          <t>Administración</t>
        </is>
      </c>
      <c r="N89" t="inlineStr">
        <is>
          <t>Centro de prensa</t>
        </is>
      </c>
    </row>
    <row r="90">
      <c r="A90" t="inlineStr">
        <is>
          <t>GAS-0089</t>
        </is>
      </c>
      <c r="B90" s="2" t="n">
        <v>45554</v>
      </c>
      <c r="C90" t="inlineStr">
        <is>
          <t>Tecnología</t>
        </is>
      </c>
      <c r="D90" t="inlineStr">
        <is>
          <t>Software traducción</t>
        </is>
      </c>
      <c r="E90" t="inlineStr">
        <is>
          <t>SEO Metrics</t>
        </is>
      </c>
      <c r="F90" t="inlineStr">
        <is>
          <t>Anuncios internet</t>
        </is>
      </c>
      <c r="G90" t="inlineStr">
        <is>
          <t>Retainer trimestral</t>
        </is>
      </c>
      <c r="H90" t="inlineStr">
        <is>
          <t>Software traducción para anuncios internet</t>
        </is>
      </c>
      <c r="I90" s="5" t="n">
        <v>399.4</v>
      </c>
      <c r="J90" s="3" t="n">
        <v>0.21</v>
      </c>
      <c r="K90" s="5">
        <f>ROUND(I90*(1+J90),2)</f>
        <v/>
      </c>
      <c r="L90" t="inlineStr">
        <is>
          <t>Fijo</t>
        </is>
      </c>
      <c r="M90" t="inlineStr">
        <is>
          <t>Comercial</t>
        </is>
      </c>
      <c r="N90" t="inlineStr">
        <is>
          <t>Intranet operaciones</t>
        </is>
      </c>
    </row>
    <row r="91">
      <c r="A91" t="inlineStr">
        <is>
          <t>GAS-0090</t>
        </is>
      </c>
      <c r="B91" s="2" t="n">
        <v>45551</v>
      </c>
      <c r="C91" t="inlineStr">
        <is>
          <t>Personal</t>
        </is>
      </c>
      <c r="D91" t="inlineStr">
        <is>
          <t>Seguridad Social</t>
        </is>
      </c>
      <c r="E91" t="inlineStr">
        <is>
          <t>NominaPlus</t>
        </is>
      </c>
      <c r="F91" t="inlineStr">
        <is>
          <t>Generación de noticias</t>
        </is>
      </c>
      <c r="G91" t="inlineStr">
        <is>
          <t>Suscripción mensual</t>
        </is>
      </c>
      <c r="H91" t="inlineStr">
        <is>
          <t>Seguridad Social para generación de noticias</t>
        </is>
      </c>
      <c r="I91" s="5" t="n">
        <v>3892.46</v>
      </c>
      <c r="J91" s="3" t="n">
        <v>0.21</v>
      </c>
      <c r="K91" s="5">
        <f>ROUND(I91*(1+J91),2)</f>
        <v/>
      </c>
      <c r="L91" t="inlineStr">
        <is>
          <t>Variable</t>
        </is>
      </c>
      <c r="M91" t="inlineStr">
        <is>
          <t>Comercial</t>
        </is>
      </c>
      <c r="N91" t="inlineStr">
        <is>
          <t>Campaña empleo</t>
        </is>
      </c>
    </row>
    <row r="92">
      <c r="A92" t="inlineStr">
        <is>
          <t>GAS-0091</t>
        </is>
      </c>
      <c r="B92" s="2" t="n">
        <v>45461</v>
      </c>
      <c r="C92" t="inlineStr">
        <is>
          <t>Marketing</t>
        </is>
      </c>
      <c r="D92" t="inlineStr">
        <is>
          <t>Ads Google</t>
        </is>
      </c>
      <c r="E92" t="inlineStr">
        <is>
          <t>CloudPulse</t>
        </is>
      </c>
      <c r="F92" t="inlineStr">
        <is>
          <t>Traducciones</t>
        </is>
      </c>
      <c r="G92" t="inlineStr">
        <is>
          <t>Soporte anual</t>
        </is>
      </c>
      <c r="H92" t="inlineStr">
        <is>
          <t>Ads Google para traducciones</t>
        </is>
      </c>
      <c r="I92" s="5" t="n">
        <v>8428.940000000001</v>
      </c>
      <c r="J92" s="3" t="n">
        <v>0.21</v>
      </c>
      <c r="K92" s="5">
        <f>ROUND(I92*(1+J92),2)</f>
        <v/>
      </c>
      <c r="L92" t="inlineStr">
        <is>
          <t>Variable</t>
        </is>
      </c>
      <c r="M92" t="inlineStr">
        <is>
          <t>Marketing</t>
        </is>
      </c>
      <c r="N92" t="inlineStr">
        <is>
          <t>Portal internacional</t>
        </is>
      </c>
    </row>
    <row r="93">
      <c r="A93" t="inlineStr">
        <is>
          <t>GAS-0092</t>
        </is>
      </c>
      <c r="B93" s="2" t="n">
        <v>45401</v>
      </c>
      <c r="C93" t="inlineStr">
        <is>
          <t>Personal</t>
        </is>
      </c>
      <c r="D93" t="inlineStr">
        <is>
          <t>Seguridad Social</t>
        </is>
      </c>
      <c r="E93" t="inlineStr">
        <is>
          <t>NoticiasPro</t>
        </is>
      </c>
      <c r="F93" t="inlineStr">
        <is>
          <t>Mantenimiento web</t>
        </is>
      </c>
      <c r="G93" t="inlineStr">
        <is>
          <t>Campaña</t>
        </is>
      </c>
      <c r="H93" t="inlineStr">
        <is>
          <t>Seguridad Social para mantenimiento web</t>
        </is>
      </c>
      <c r="I93" s="5" t="n">
        <v>4820.29</v>
      </c>
      <c r="J93" s="3" t="n">
        <v>0.21</v>
      </c>
      <c r="K93" s="5">
        <f>ROUND(I93*(1+J93),2)</f>
        <v/>
      </c>
      <c r="L93" t="inlineStr">
        <is>
          <t>Variable</t>
        </is>
      </c>
      <c r="M93" t="inlineStr">
        <is>
          <t>Comercial</t>
        </is>
      </c>
      <c r="N93" t="inlineStr">
        <is>
          <t>Microsite RRHH</t>
        </is>
      </c>
    </row>
    <row r="94">
      <c r="A94" t="inlineStr">
        <is>
          <t>GAS-0093</t>
        </is>
      </c>
      <c r="B94" s="2" t="n">
        <v>45615</v>
      </c>
      <c r="C94" t="inlineStr">
        <is>
          <t>Personal</t>
        </is>
      </c>
      <c r="D94" t="inlineStr">
        <is>
          <t>Salarios</t>
        </is>
      </c>
      <c r="E94" t="inlineStr">
        <is>
          <t>CloudPulse</t>
        </is>
      </c>
      <c r="F94" t="inlineStr">
        <is>
          <t>Anuncios RRHH</t>
        </is>
      </c>
      <c r="G94" t="inlineStr">
        <is>
          <t>Retainer trimestral</t>
        </is>
      </c>
      <c r="H94" t="inlineStr">
        <is>
          <t>Salarios para anuncios rrhh</t>
        </is>
      </c>
      <c r="I94" s="5" t="n">
        <v>1272.21</v>
      </c>
      <c r="J94" s="3" t="n">
        <v>0</v>
      </c>
      <c r="K94" s="5">
        <f>ROUND(I94*(1+J94),2)</f>
        <v/>
      </c>
      <c r="L94" t="inlineStr">
        <is>
          <t>Fijo</t>
        </is>
      </c>
      <c r="M94" t="inlineStr">
        <is>
          <t>Comercial</t>
        </is>
      </c>
      <c r="N94" t="inlineStr">
        <is>
          <t>Campaña empleo</t>
        </is>
      </c>
    </row>
    <row r="95">
      <c r="A95" t="inlineStr">
        <is>
          <t>GAS-0094</t>
        </is>
      </c>
      <c r="B95" s="2" t="n">
        <v>45723</v>
      </c>
      <c r="C95" t="inlineStr">
        <is>
          <t>Personal</t>
        </is>
      </c>
      <c r="D95" t="inlineStr">
        <is>
          <t>Salarios</t>
        </is>
      </c>
      <c r="E95" t="inlineStr">
        <is>
          <t>IntraSys</t>
        </is>
      </c>
      <c r="F95" t="inlineStr">
        <is>
          <t>Generación de noticias</t>
        </is>
      </c>
      <c r="G95" t="inlineStr">
        <is>
          <t>Suscripción mensual</t>
        </is>
      </c>
      <c r="H95" t="inlineStr">
        <is>
          <t>Salarios para generación de noticias</t>
        </is>
      </c>
      <c r="I95" s="5" t="n">
        <v>6447.51</v>
      </c>
      <c r="J95" s="3" t="n">
        <v>0</v>
      </c>
      <c r="K95" s="5">
        <f>ROUND(I95*(1+J95),2)</f>
        <v/>
      </c>
      <c r="L95" t="inlineStr">
        <is>
          <t>Fijo</t>
        </is>
      </c>
      <c r="M95" t="inlineStr">
        <is>
          <t>Marketing</t>
        </is>
      </c>
      <c r="N95" t="inlineStr">
        <is>
          <t>Intranet comercial</t>
        </is>
      </c>
    </row>
    <row r="96">
      <c r="A96" t="inlineStr">
        <is>
          <t>GAS-0095</t>
        </is>
      </c>
      <c r="B96" s="2" t="n">
        <v>45701</v>
      </c>
      <c r="C96" t="inlineStr">
        <is>
          <t>Personal</t>
        </is>
      </c>
      <c r="D96" t="inlineStr">
        <is>
          <t>Salarios</t>
        </is>
      </c>
      <c r="E96" t="inlineStr">
        <is>
          <t>CloudPulse</t>
        </is>
      </c>
      <c r="F96" t="inlineStr">
        <is>
          <t>Generación de noticias</t>
        </is>
      </c>
      <c r="G96" t="inlineStr">
        <is>
          <t>Campaña</t>
        </is>
      </c>
      <c r="H96" t="inlineStr">
        <is>
          <t>Salarios para generación de noticias</t>
        </is>
      </c>
      <c r="I96" s="5" t="n">
        <v>4530.29</v>
      </c>
      <c r="J96" s="3" t="n">
        <v>0</v>
      </c>
      <c r="K96" s="5">
        <f>ROUND(I96*(1+J96),2)</f>
        <v/>
      </c>
      <c r="L96" t="inlineStr">
        <is>
          <t>Fijo</t>
        </is>
      </c>
      <c r="M96" t="inlineStr">
        <is>
          <t>Comercial</t>
        </is>
      </c>
      <c r="N96" t="inlineStr">
        <is>
          <t>Sección noticias</t>
        </is>
      </c>
    </row>
    <row r="97">
      <c r="A97" t="inlineStr">
        <is>
          <t>GAS-0096</t>
        </is>
      </c>
      <c r="B97" s="2" t="n">
        <v>45315</v>
      </c>
      <c r="C97" t="inlineStr">
        <is>
          <t>Marketing</t>
        </is>
      </c>
      <c r="D97" t="inlineStr">
        <is>
          <t>Ads Google</t>
        </is>
      </c>
      <c r="E97" t="inlineStr">
        <is>
          <t>CloudPulse</t>
        </is>
      </c>
      <c r="F97" t="inlineStr">
        <is>
          <t>Anuncios TV</t>
        </is>
      </c>
      <c r="G97" t="inlineStr">
        <is>
          <t>Soporte anual</t>
        </is>
      </c>
      <c r="H97" t="inlineStr">
        <is>
          <t>Ads Google para anuncios tv</t>
        </is>
      </c>
      <c r="I97" s="5" t="n">
        <v>7314.73</v>
      </c>
      <c r="J97" s="3" t="n">
        <v>0.21</v>
      </c>
      <c r="K97" s="5">
        <f>ROUND(I97*(1+J97),2)</f>
        <v/>
      </c>
      <c r="L97" t="inlineStr">
        <is>
          <t>Variable</t>
        </is>
      </c>
      <c r="M97" t="inlineStr">
        <is>
          <t>Comercial</t>
        </is>
      </c>
      <c r="N97" t="inlineStr">
        <is>
          <t>Portal internacional</t>
        </is>
      </c>
    </row>
    <row r="98">
      <c r="A98" t="inlineStr">
        <is>
          <t>GAS-0097</t>
        </is>
      </c>
      <c r="B98" s="2" t="n">
        <v>45333</v>
      </c>
      <c r="C98" t="inlineStr">
        <is>
          <t>Personal</t>
        </is>
      </c>
      <c r="D98" t="inlineStr">
        <is>
          <t>Formación</t>
        </is>
      </c>
      <c r="E98" t="inlineStr">
        <is>
          <t>Legal Iberia</t>
        </is>
      </c>
      <c r="F98" t="inlineStr">
        <is>
          <t>Generación de noticias</t>
        </is>
      </c>
      <c r="G98" t="inlineStr">
        <is>
          <t>Soporte anual</t>
        </is>
      </c>
      <c r="H98" t="inlineStr">
        <is>
          <t>Formación para generación de noticias</t>
        </is>
      </c>
      <c r="I98" s="5" t="n">
        <v>7571.82</v>
      </c>
      <c r="J98" s="3" t="n">
        <v>0</v>
      </c>
      <c r="K98" s="5">
        <f>ROUND(I98*(1+J98),2)</f>
        <v/>
      </c>
      <c r="L98" t="inlineStr">
        <is>
          <t>Fijo</t>
        </is>
      </c>
      <c r="M98" t="inlineStr">
        <is>
          <t>Administración</t>
        </is>
      </c>
      <c r="N98" t="inlineStr">
        <is>
          <t>Microsite RRHH</t>
        </is>
      </c>
    </row>
    <row r="99">
      <c r="A99" t="inlineStr">
        <is>
          <t>GAS-0098</t>
        </is>
      </c>
      <c r="B99" s="2" t="n">
        <v>45658</v>
      </c>
      <c r="C99" t="inlineStr">
        <is>
          <t>Marketing</t>
        </is>
      </c>
      <c r="D99" t="inlineStr">
        <is>
          <t>Diseño creativo</t>
        </is>
      </c>
      <c r="E99" t="inlineStr">
        <is>
          <t>Legal Iberia</t>
        </is>
      </c>
      <c r="F99" t="inlineStr">
        <is>
          <t>Anuncios RRHH</t>
        </is>
      </c>
      <c r="G99" t="inlineStr">
        <is>
          <t>Campaña</t>
        </is>
      </c>
      <c r="H99" t="inlineStr">
        <is>
          <t>Diseño creativo para anuncios rrhh</t>
        </is>
      </c>
      <c r="I99" s="5" t="n">
        <v>4065.33</v>
      </c>
      <c r="J99" s="3" t="n">
        <v>0.21</v>
      </c>
      <c r="K99" s="5">
        <f>ROUND(I99*(1+J99),2)</f>
        <v/>
      </c>
      <c r="L99" t="inlineStr">
        <is>
          <t>Variable</t>
        </is>
      </c>
      <c r="M99" t="inlineStr">
        <is>
          <t>Administración</t>
        </is>
      </c>
      <c r="N99" t="inlineStr">
        <is>
          <t>Portal corporativo</t>
        </is>
      </c>
    </row>
    <row r="100">
      <c r="A100" t="inlineStr">
        <is>
          <t>GAS-0099</t>
        </is>
      </c>
      <c r="B100" s="2" t="n">
        <v>45723</v>
      </c>
      <c r="C100" t="inlineStr">
        <is>
          <t>Personal</t>
        </is>
      </c>
      <c r="D100" t="inlineStr">
        <is>
          <t>Salarios</t>
        </is>
      </c>
      <c r="E100" t="inlineStr">
        <is>
          <t>AdVision</t>
        </is>
      </c>
      <c r="F100" t="inlineStr">
        <is>
          <t>Anuncios internet</t>
        </is>
      </c>
      <c r="G100" t="inlineStr">
        <is>
          <t>Retainer trimestral</t>
        </is>
      </c>
      <c r="H100" t="inlineStr">
        <is>
          <t>Salarios para anuncios internet</t>
        </is>
      </c>
      <c r="I100" s="5" t="n">
        <v>7501.13</v>
      </c>
      <c r="J100" s="3" t="n">
        <v>0.1</v>
      </c>
      <c r="K100" s="5">
        <f>ROUND(I100*(1+J100),2)</f>
        <v/>
      </c>
      <c r="L100" t="inlineStr">
        <is>
          <t>Fijo</t>
        </is>
      </c>
      <c r="M100" t="inlineStr">
        <is>
          <t>Comercial</t>
        </is>
      </c>
      <c r="N100" t="inlineStr">
        <is>
          <t>Intranet comercial</t>
        </is>
      </c>
    </row>
    <row r="101">
      <c r="A101" t="inlineStr">
        <is>
          <t>GAS-0100</t>
        </is>
      </c>
      <c r="B101" s="2" t="n">
        <v>45513</v>
      </c>
      <c r="C101" t="inlineStr">
        <is>
          <t>Personal</t>
        </is>
      </c>
      <c r="D101" t="inlineStr">
        <is>
          <t>Formación</t>
        </is>
      </c>
      <c r="E101" t="inlineStr">
        <is>
          <t>TVSpot Studio</t>
        </is>
      </c>
      <c r="F101" t="inlineStr">
        <is>
          <t>Anuncios RRHH</t>
        </is>
      </c>
      <c r="G101" t="inlineStr">
        <is>
          <t>Retainer trimestral</t>
        </is>
      </c>
      <c r="H101" t="inlineStr">
        <is>
          <t>Formación para anuncios rrhh</t>
        </is>
      </c>
      <c r="I101" s="5" t="n">
        <v>2880.3</v>
      </c>
      <c r="J101" s="3" t="n">
        <v>0.21</v>
      </c>
      <c r="K101" s="5">
        <f>ROUND(I101*(1+J101),2)</f>
        <v/>
      </c>
      <c r="L101" t="inlineStr">
        <is>
          <t>Variable</t>
        </is>
      </c>
      <c r="M101" t="inlineStr">
        <is>
          <t>Tecnología</t>
        </is>
      </c>
      <c r="N101" t="inlineStr">
        <is>
          <t>Microsite RRHH</t>
        </is>
      </c>
    </row>
    <row r="102">
      <c r="A102" t="inlineStr">
        <is>
          <t>GAS-0101</t>
        </is>
      </c>
      <c r="B102" s="2" t="n">
        <v>45571</v>
      </c>
      <c r="C102" t="inlineStr">
        <is>
          <t>Personal</t>
        </is>
      </c>
      <c r="D102" t="inlineStr">
        <is>
          <t>Seguridad Social</t>
        </is>
      </c>
      <c r="E102" t="inlineStr">
        <is>
          <t>SEO Metrics</t>
        </is>
      </c>
      <c r="F102" t="inlineStr">
        <is>
          <t>Mantenimiento intranets</t>
        </is>
      </c>
      <c r="G102" t="inlineStr">
        <is>
          <t>Suscripción mensual</t>
        </is>
      </c>
      <c r="H102" t="inlineStr">
        <is>
          <t>Seguridad Social para mantenimiento intranets</t>
        </is>
      </c>
      <c r="I102" s="5" t="n">
        <v>3139.06</v>
      </c>
      <c r="J102" s="3" t="n">
        <v>0.21</v>
      </c>
      <c r="K102" s="5">
        <f>ROUND(I102*(1+J102),2)</f>
        <v/>
      </c>
      <c r="L102" t="inlineStr">
        <is>
          <t>Fijo</t>
        </is>
      </c>
      <c r="M102" t="inlineStr">
        <is>
          <t>Operaciones</t>
        </is>
      </c>
      <c r="N102" t="inlineStr">
        <is>
          <t>Intranet comercial</t>
        </is>
      </c>
    </row>
    <row r="103">
      <c r="A103" t="inlineStr">
        <is>
          <t>GAS-0102</t>
        </is>
      </c>
      <c r="B103" s="2" t="n">
        <v>45641</v>
      </c>
      <c r="C103" t="inlineStr">
        <is>
          <t>Personal</t>
        </is>
      </c>
      <c r="D103" t="inlineStr">
        <is>
          <t>Salarios</t>
        </is>
      </c>
      <c r="E103" t="inlineStr">
        <is>
          <t>IntraSys</t>
        </is>
      </c>
      <c r="F103" t="inlineStr">
        <is>
          <t>Anuncios TV</t>
        </is>
      </c>
      <c r="G103" t="inlineStr">
        <is>
          <t>Proyecto puntual</t>
        </is>
      </c>
      <c r="H103" t="inlineStr">
        <is>
          <t>Salarios para anuncios tv</t>
        </is>
      </c>
      <c r="I103" s="5" t="n">
        <v>2662.24</v>
      </c>
      <c r="J103" s="3" t="n">
        <v>0.1</v>
      </c>
      <c r="K103" s="5">
        <f>ROUND(I103*(1+J103),2)</f>
        <v/>
      </c>
      <c r="L103" t="inlineStr">
        <is>
          <t>Fijo</t>
        </is>
      </c>
      <c r="M103" t="inlineStr">
        <is>
          <t>Administración</t>
        </is>
      </c>
      <c r="N103" t="inlineStr">
        <is>
          <t>Centro de prensa</t>
        </is>
      </c>
    </row>
    <row r="104">
      <c r="A104" t="inlineStr">
        <is>
          <t>GAS-0103</t>
        </is>
      </c>
      <c r="B104" s="2" t="n">
        <v>45627</v>
      </c>
      <c r="C104" t="inlineStr">
        <is>
          <t>Personal</t>
        </is>
      </c>
      <c r="D104" t="inlineStr">
        <is>
          <t>Seguridad Social</t>
        </is>
      </c>
      <c r="E104" t="inlineStr">
        <is>
          <t>Acme Hosting</t>
        </is>
      </c>
      <c r="F104" t="inlineStr">
        <is>
          <t>Generación de noticias</t>
        </is>
      </c>
      <c r="G104" t="inlineStr">
        <is>
          <t>Campaña</t>
        </is>
      </c>
      <c r="H104" t="inlineStr">
        <is>
          <t>Seguridad Social para generación de noticias</t>
        </is>
      </c>
      <c r="I104" s="5" t="n">
        <v>7202.85</v>
      </c>
      <c r="J104" s="3" t="n">
        <v>0.1</v>
      </c>
      <c r="K104" s="5">
        <f>ROUND(I104*(1+J104),2)</f>
        <v/>
      </c>
      <c r="L104" t="inlineStr">
        <is>
          <t>Fijo</t>
        </is>
      </c>
      <c r="M104" t="inlineStr">
        <is>
          <t>Marketing</t>
        </is>
      </c>
      <c r="N104" t="inlineStr">
        <is>
          <t>Campaña empleo</t>
        </is>
      </c>
    </row>
    <row r="105">
      <c r="A105" t="inlineStr">
        <is>
          <t>GAS-0104</t>
        </is>
      </c>
      <c r="B105" s="2" t="n">
        <v>45528</v>
      </c>
      <c r="C105" t="inlineStr">
        <is>
          <t>Personal</t>
        </is>
      </c>
      <c r="D105" t="inlineStr">
        <is>
          <t>Formación</t>
        </is>
      </c>
      <c r="E105" t="inlineStr">
        <is>
          <t>AdVision</t>
        </is>
      </c>
      <c r="F105" t="inlineStr">
        <is>
          <t>Mantenimiento intranets</t>
        </is>
      </c>
      <c r="G105" t="inlineStr">
        <is>
          <t>Suscripción mensual</t>
        </is>
      </c>
      <c r="H105" t="inlineStr">
        <is>
          <t>Formación para mantenimiento intranets</t>
        </is>
      </c>
      <c r="I105" s="5" t="n">
        <v>4663.4</v>
      </c>
      <c r="J105" s="3" t="n">
        <v>0.21</v>
      </c>
      <c r="K105" s="5">
        <f>ROUND(I105*(1+J105),2)</f>
        <v/>
      </c>
      <c r="L105" t="inlineStr">
        <is>
          <t>Fijo</t>
        </is>
      </c>
      <c r="M105" t="inlineStr">
        <is>
          <t>Marketing</t>
        </is>
      </c>
      <c r="N105" t="inlineStr">
        <is>
          <t>Microsite RRHH</t>
        </is>
      </c>
    </row>
    <row r="106">
      <c r="A106" t="inlineStr">
        <is>
          <t>GAS-0105</t>
        </is>
      </c>
      <c r="B106" s="2" t="n">
        <v>45547</v>
      </c>
      <c r="C106" t="inlineStr">
        <is>
          <t>Personal</t>
        </is>
      </c>
      <c r="D106" t="inlineStr">
        <is>
          <t>Seguridad Social</t>
        </is>
      </c>
      <c r="E106" t="inlineStr">
        <is>
          <t>SEO Metrics</t>
        </is>
      </c>
      <c r="F106" t="inlineStr">
        <is>
          <t>Anuncios TV</t>
        </is>
      </c>
      <c r="G106" t="inlineStr">
        <is>
          <t>Retainer trimestral</t>
        </is>
      </c>
      <c r="H106" t="inlineStr">
        <is>
          <t>Seguridad Social para anuncios tv</t>
        </is>
      </c>
      <c r="I106" s="5" t="n">
        <v>1419.76</v>
      </c>
      <c r="J106" s="3" t="n">
        <v>0.21</v>
      </c>
      <c r="K106" s="5">
        <f>ROUND(I106*(1+J106),2)</f>
        <v/>
      </c>
      <c r="L106" t="inlineStr">
        <is>
          <t>Fijo</t>
        </is>
      </c>
      <c r="M106" t="inlineStr">
        <is>
          <t>Marketing</t>
        </is>
      </c>
      <c r="N106" t="inlineStr">
        <is>
          <t>Microsite RRHH</t>
        </is>
      </c>
    </row>
    <row r="107">
      <c r="A107" t="inlineStr">
        <is>
          <t>GAS-0106</t>
        </is>
      </c>
      <c r="B107" s="2" t="n">
        <v>45461</v>
      </c>
      <c r="C107" t="inlineStr">
        <is>
          <t>Marketing</t>
        </is>
      </c>
      <c r="D107" t="inlineStr">
        <is>
          <t>Producción TV</t>
        </is>
      </c>
      <c r="E107" t="inlineStr">
        <is>
          <t>CloudPulse</t>
        </is>
      </c>
      <c r="F107" t="inlineStr">
        <is>
          <t>Anuncios TV</t>
        </is>
      </c>
      <c r="G107" t="inlineStr">
        <is>
          <t>Soporte anual</t>
        </is>
      </c>
      <c r="H107" t="inlineStr">
        <is>
          <t>Producción TV para anuncios tv</t>
        </is>
      </c>
      <c r="I107" s="5" t="n">
        <v>6940.66</v>
      </c>
      <c r="J107" s="3" t="n">
        <v>0.1</v>
      </c>
      <c r="K107" s="5">
        <f>ROUND(I107*(1+J107),2)</f>
        <v/>
      </c>
      <c r="L107" t="inlineStr">
        <is>
          <t>Variable</t>
        </is>
      </c>
      <c r="M107" t="inlineStr">
        <is>
          <t>Marketing</t>
        </is>
      </c>
      <c r="N107" t="inlineStr">
        <is>
          <t>Campaña empleo</t>
        </is>
      </c>
    </row>
    <row r="108">
      <c r="A108" t="inlineStr">
        <is>
          <t>GAS-0107</t>
        </is>
      </c>
      <c r="B108" s="2" t="n">
        <v>45447</v>
      </c>
      <c r="C108" t="inlineStr">
        <is>
          <t>Operaciones</t>
        </is>
      </c>
      <c r="D108" t="inlineStr">
        <is>
          <t>Freelancers</t>
        </is>
      </c>
      <c r="E108" t="inlineStr">
        <is>
          <t>LinguaTech</t>
        </is>
      </c>
      <c r="F108" t="inlineStr">
        <is>
          <t>Anuncios TV</t>
        </is>
      </c>
      <c r="G108" t="inlineStr">
        <is>
          <t>Proyecto puntual</t>
        </is>
      </c>
      <c r="H108" t="inlineStr">
        <is>
          <t>Freelancers para anuncios tv</t>
        </is>
      </c>
      <c r="I108" s="5" t="n">
        <v>5777.34</v>
      </c>
      <c r="J108" s="3" t="n">
        <v>0</v>
      </c>
      <c r="K108" s="5">
        <f>ROUND(I108*(1+J108),2)</f>
        <v/>
      </c>
      <c r="L108" t="inlineStr">
        <is>
          <t>Fijo</t>
        </is>
      </c>
      <c r="M108" t="inlineStr">
        <is>
          <t>Operaciones</t>
        </is>
      </c>
      <c r="N108" t="inlineStr">
        <is>
          <t>Intranet operaciones</t>
        </is>
      </c>
    </row>
    <row r="109">
      <c r="A109" t="inlineStr">
        <is>
          <t>GAS-0108</t>
        </is>
      </c>
      <c r="B109" s="2" t="n">
        <v>45524</v>
      </c>
      <c r="C109" t="inlineStr">
        <is>
          <t>Personal</t>
        </is>
      </c>
      <c r="D109" t="inlineStr">
        <is>
          <t>Salarios</t>
        </is>
      </c>
      <c r="E109" t="inlineStr">
        <is>
          <t>Acme Hosting</t>
        </is>
      </c>
      <c r="F109" t="inlineStr">
        <is>
          <t>Traducciones</t>
        </is>
      </c>
      <c r="G109" t="inlineStr">
        <is>
          <t>Retainer trimestral</t>
        </is>
      </c>
      <c r="H109" t="inlineStr">
        <is>
          <t>Salarios para traducciones</t>
        </is>
      </c>
      <c r="I109" s="5" t="n">
        <v>7852.82</v>
      </c>
      <c r="J109" s="3" t="n">
        <v>0.1</v>
      </c>
      <c r="K109" s="5">
        <f>ROUND(I109*(1+J109),2)</f>
        <v/>
      </c>
      <c r="L109" t="inlineStr">
        <is>
          <t>Fijo</t>
        </is>
      </c>
      <c r="M109" t="inlineStr">
        <is>
          <t>Comercial</t>
        </is>
      </c>
      <c r="N109" t="inlineStr">
        <is>
          <t>Portal internacional</t>
        </is>
      </c>
    </row>
    <row r="110">
      <c r="A110" t="inlineStr">
        <is>
          <t>GAS-0109</t>
        </is>
      </c>
      <c r="B110" s="2" t="n">
        <v>45735</v>
      </c>
      <c r="C110" t="inlineStr">
        <is>
          <t>Operaciones</t>
        </is>
      </c>
      <c r="D110" t="inlineStr">
        <is>
          <t>QA intranet</t>
        </is>
      </c>
      <c r="E110" t="inlineStr">
        <is>
          <t>NoticiasPro</t>
        </is>
      </c>
      <c r="F110" t="inlineStr">
        <is>
          <t>Anuncios prensa</t>
        </is>
      </c>
      <c r="G110" t="inlineStr">
        <is>
          <t>Proyecto puntual</t>
        </is>
      </c>
      <c r="H110" t="inlineStr">
        <is>
          <t>QA intranet para anuncios prensa</t>
        </is>
      </c>
      <c r="I110" s="5" t="n">
        <v>2947.77</v>
      </c>
      <c r="J110" s="3" t="n">
        <v>0.21</v>
      </c>
      <c r="K110" s="5">
        <f>ROUND(I110*(1+J110),2)</f>
        <v/>
      </c>
      <c r="L110" t="inlineStr">
        <is>
          <t>Variable</t>
        </is>
      </c>
      <c r="M110" t="inlineStr">
        <is>
          <t>Marketing</t>
        </is>
      </c>
      <c r="N110" t="inlineStr">
        <is>
          <t>Intranet operaciones</t>
        </is>
      </c>
    </row>
    <row r="111">
      <c r="A111" t="inlineStr">
        <is>
          <t>GAS-0110</t>
        </is>
      </c>
      <c r="B111" s="2" t="n">
        <v>45365</v>
      </c>
      <c r="C111" t="inlineStr">
        <is>
          <t>Personal</t>
        </is>
      </c>
      <c r="D111" t="inlineStr">
        <is>
          <t>Formación</t>
        </is>
      </c>
      <c r="E111" t="inlineStr">
        <is>
          <t>Legal Iberia</t>
        </is>
      </c>
      <c r="F111" t="inlineStr">
        <is>
          <t>Generación de noticias</t>
        </is>
      </c>
      <c r="G111" t="inlineStr">
        <is>
          <t>Suscripción mensual</t>
        </is>
      </c>
      <c r="H111" t="inlineStr">
        <is>
          <t>Formación para generación de noticias</t>
        </is>
      </c>
      <c r="I111" s="5" t="n">
        <v>5488.69</v>
      </c>
      <c r="J111" s="3" t="n">
        <v>0.21</v>
      </c>
      <c r="K111" s="5">
        <f>ROUND(I111*(1+J111),2)</f>
        <v/>
      </c>
      <c r="L111" t="inlineStr">
        <is>
          <t>Fijo</t>
        </is>
      </c>
      <c r="M111" t="inlineStr">
        <is>
          <t>Administración</t>
        </is>
      </c>
      <c r="N111" t="inlineStr">
        <is>
          <t>Portal internacional</t>
        </is>
      </c>
    </row>
    <row r="112">
      <c r="A112" t="inlineStr">
        <is>
          <t>GAS-0111</t>
        </is>
      </c>
      <c r="B112" s="2" t="n">
        <v>45469</v>
      </c>
      <c r="C112" t="inlineStr">
        <is>
          <t>Operaciones</t>
        </is>
      </c>
      <c r="D112" t="inlineStr">
        <is>
          <t>QA intranet</t>
        </is>
      </c>
      <c r="E112" t="inlineStr">
        <is>
          <t>Redacción Global</t>
        </is>
      </c>
      <c r="F112" t="inlineStr">
        <is>
          <t>Anuncios internet</t>
        </is>
      </c>
      <c r="G112" t="inlineStr">
        <is>
          <t>Retainer trimestral</t>
        </is>
      </c>
      <c r="H112" t="inlineStr">
        <is>
          <t>QA intranet para anuncios internet</t>
        </is>
      </c>
      <c r="I112" s="5" t="n">
        <v>3930.85</v>
      </c>
      <c r="J112" s="3" t="n">
        <v>0.21</v>
      </c>
      <c r="K112" s="5">
        <f>ROUND(I112*(1+J112),2)</f>
        <v/>
      </c>
      <c r="L112" t="inlineStr">
        <is>
          <t>Fijo</t>
        </is>
      </c>
      <c r="M112" t="inlineStr">
        <is>
          <t>Marketing</t>
        </is>
      </c>
      <c r="N112" t="inlineStr">
        <is>
          <t>Campaña empleo</t>
        </is>
      </c>
    </row>
    <row r="113">
      <c r="A113" t="inlineStr">
        <is>
          <t>GAS-0112</t>
        </is>
      </c>
      <c r="B113" s="2" t="n">
        <v>45314</v>
      </c>
      <c r="C113" t="inlineStr">
        <is>
          <t>Personal</t>
        </is>
      </c>
      <c r="D113" t="inlineStr">
        <is>
          <t>Formación</t>
        </is>
      </c>
      <c r="E113" t="inlineStr">
        <is>
          <t>NoticiasPro</t>
        </is>
      </c>
      <c r="F113" t="inlineStr">
        <is>
          <t>Anuncios prensa</t>
        </is>
      </c>
      <c r="G113" t="inlineStr">
        <is>
          <t>Proyecto puntual</t>
        </is>
      </c>
      <c r="H113" t="inlineStr">
        <is>
          <t>Formación para anuncios prensa</t>
        </is>
      </c>
      <c r="I113" s="5" t="n">
        <v>4542.15</v>
      </c>
      <c r="J113" s="3" t="n">
        <v>0.21</v>
      </c>
      <c r="K113" s="5">
        <f>ROUND(I113*(1+J113),2)</f>
        <v/>
      </c>
      <c r="L113" t="inlineStr">
        <is>
          <t>Variable</t>
        </is>
      </c>
      <c r="M113" t="inlineStr">
        <is>
          <t>Operaciones</t>
        </is>
      </c>
      <c r="N113" t="inlineStr">
        <is>
          <t>Campaña empleo</t>
        </is>
      </c>
    </row>
    <row r="114">
      <c r="A114" t="inlineStr">
        <is>
          <t>GAS-0113</t>
        </is>
      </c>
      <c r="B114" s="2" t="n">
        <v>45501</v>
      </c>
      <c r="C114" t="inlineStr">
        <is>
          <t>Operaciones</t>
        </is>
      </c>
      <c r="D114" t="inlineStr">
        <is>
          <t>QA intranet</t>
        </is>
      </c>
      <c r="E114" t="inlineStr">
        <is>
          <t>Legal Iberia</t>
        </is>
      </c>
      <c r="F114" t="inlineStr">
        <is>
          <t>Anuncios TV</t>
        </is>
      </c>
      <c r="G114" t="inlineStr">
        <is>
          <t>Proyecto puntual</t>
        </is>
      </c>
      <c r="H114" t="inlineStr">
        <is>
          <t>QA intranet para anuncios tv</t>
        </is>
      </c>
      <c r="I114" s="5" t="n">
        <v>3100.71</v>
      </c>
      <c r="J114" s="3" t="n">
        <v>0.21</v>
      </c>
      <c r="K114" s="5">
        <f>ROUND(I114*(1+J114),2)</f>
        <v/>
      </c>
      <c r="L114" t="inlineStr">
        <is>
          <t>Fijo</t>
        </is>
      </c>
      <c r="M114" t="inlineStr">
        <is>
          <t>Administración</t>
        </is>
      </c>
      <c r="N114" t="inlineStr">
        <is>
          <t>Portal corporativo</t>
        </is>
      </c>
    </row>
    <row r="115">
      <c r="A115" t="inlineStr">
        <is>
          <t>GAS-0114</t>
        </is>
      </c>
      <c r="B115" s="2" t="n">
        <v>45350</v>
      </c>
      <c r="C115" t="inlineStr">
        <is>
          <t>Tecnología</t>
        </is>
      </c>
      <c r="D115" t="inlineStr">
        <is>
          <t>Hosting</t>
        </is>
      </c>
      <c r="E115" t="inlineStr">
        <is>
          <t>Redacción Global</t>
        </is>
      </c>
      <c r="F115" t="inlineStr">
        <is>
          <t>Anuncios internet</t>
        </is>
      </c>
      <c r="G115" t="inlineStr">
        <is>
          <t>Proyecto puntual</t>
        </is>
      </c>
      <c r="H115" t="inlineStr">
        <is>
          <t>Hosting para anuncios internet</t>
        </is>
      </c>
      <c r="I115" s="5" t="n">
        <v>1810.62</v>
      </c>
      <c r="J115" s="3" t="n">
        <v>0.21</v>
      </c>
      <c r="K115" s="5">
        <f>ROUND(I115*(1+J115),2)</f>
        <v/>
      </c>
      <c r="L115" t="inlineStr">
        <is>
          <t>Variable</t>
        </is>
      </c>
      <c r="M115" t="inlineStr">
        <is>
          <t>Marketing</t>
        </is>
      </c>
      <c r="N115" t="inlineStr">
        <is>
          <t>Intranet operaciones</t>
        </is>
      </c>
    </row>
    <row r="116">
      <c r="A116" t="inlineStr">
        <is>
          <t>GAS-0115</t>
        </is>
      </c>
      <c r="B116" s="2" t="n">
        <v>45721</v>
      </c>
      <c r="C116" t="inlineStr">
        <is>
          <t>Personal</t>
        </is>
      </c>
      <c r="D116" t="inlineStr">
        <is>
          <t>Formación</t>
        </is>
      </c>
      <c r="E116" t="inlineStr">
        <is>
          <t>Acme Hosting</t>
        </is>
      </c>
      <c r="F116" t="inlineStr">
        <is>
          <t>Mantenimiento intranets</t>
        </is>
      </c>
      <c r="G116" t="inlineStr">
        <is>
          <t>Soporte anual</t>
        </is>
      </c>
      <c r="H116" t="inlineStr">
        <is>
          <t>Formación para mantenimiento intranets</t>
        </is>
      </c>
      <c r="I116" s="5" t="n">
        <v>6409.15</v>
      </c>
      <c r="J116" s="3" t="n">
        <v>0</v>
      </c>
      <c r="K116" s="5">
        <f>ROUND(I116*(1+J116),2)</f>
        <v/>
      </c>
      <c r="L116" t="inlineStr">
        <is>
          <t>Fijo</t>
        </is>
      </c>
      <c r="M116" t="inlineStr">
        <is>
          <t>Tecnología</t>
        </is>
      </c>
      <c r="N116" t="inlineStr">
        <is>
          <t>Intranet comercial</t>
        </is>
      </c>
    </row>
    <row r="117">
      <c r="A117" t="inlineStr">
        <is>
          <t>GAS-0116</t>
        </is>
      </c>
      <c r="B117" s="2" t="n">
        <v>45402</v>
      </c>
      <c r="C117" t="inlineStr">
        <is>
          <t>Tecnología</t>
        </is>
      </c>
      <c r="D117" t="inlineStr">
        <is>
          <t>Software traducción</t>
        </is>
      </c>
      <c r="E117" t="inlineStr">
        <is>
          <t>Redacción Global</t>
        </is>
      </c>
      <c r="F117" t="inlineStr">
        <is>
          <t>Publicación de noticias</t>
        </is>
      </c>
      <c r="G117" t="inlineStr">
        <is>
          <t>Suscripción mensual</t>
        </is>
      </c>
      <c r="H117" t="inlineStr">
        <is>
          <t>Software traducción para publicación de noticias</t>
        </is>
      </c>
      <c r="I117" s="5" t="n">
        <v>1851.53</v>
      </c>
      <c r="J117" s="3" t="n">
        <v>0.1</v>
      </c>
      <c r="K117" s="5">
        <f>ROUND(I117*(1+J117),2)</f>
        <v/>
      </c>
      <c r="L117" t="inlineStr">
        <is>
          <t>Fijo</t>
        </is>
      </c>
      <c r="M117" t="inlineStr">
        <is>
          <t>Marketing</t>
        </is>
      </c>
      <c r="N117" t="inlineStr">
        <is>
          <t>Portal corporativo</t>
        </is>
      </c>
    </row>
    <row r="118">
      <c r="A118" t="inlineStr">
        <is>
          <t>GAS-0117</t>
        </is>
      </c>
      <c r="B118" s="2" t="n">
        <v>45395</v>
      </c>
      <c r="C118" t="inlineStr">
        <is>
          <t>Operaciones</t>
        </is>
      </c>
      <c r="D118" t="inlineStr">
        <is>
          <t>Freelancers</t>
        </is>
      </c>
      <c r="E118" t="inlineStr">
        <is>
          <t>NoticiasPro</t>
        </is>
      </c>
      <c r="F118" t="inlineStr">
        <is>
          <t>Anuncios prensa</t>
        </is>
      </c>
      <c r="G118" t="inlineStr">
        <is>
          <t>Retainer trimestral</t>
        </is>
      </c>
      <c r="H118" t="inlineStr">
        <is>
          <t>Freelancers para anuncios prensa</t>
        </is>
      </c>
      <c r="I118" s="5" t="n">
        <v>434.69</v>
      </c>
      <c r="J118" s="3" t="n">
        <v>0.21</v>
      </c>
      <c r="K118" s="5">
        <f>ROUND(I118*(1+J118),2)</f>
        <v/>
      </c>
      <c r="L118" t="inlineStr">
        <is>
          <t>Fijo</t>
        </is>
      </c>
      <c r="M118" t="inlineStr">
        <is>
          <t>Operaciones</t>
        </is>
      </c>
      <c r="N118" t="inlineStr">
        <is>
          <t>Portal corporativo</t>
        </is>
      </c>
    </row>
    <row r="119">
      <c r="A119" t="inlineStr">
        <is>
          <t>GAS-0118</t>
        </is>
      </c>
      <c r="B119" s="2" t="n">
        <v>45719</v>
      </c>
      <c r="C119" t="inlineStr">
        <is>
          <t>Tecnología</t>
        </is>
      </c>
      <c r="D119" t="inlineStr">
        <is>
          <t>Hosting</t>
        </is>
      </c>
      <c r="E119" t="inlineStr">
        <is>
          <t>SEO Metrics</t>
        </is>
      </c>
      <c r="F119" t="inlineStr">
        <is>
          <t>Anuncios RRHH</t>
        </is>
      </c>
      <c r="G119" t="inlineStr">
        <is>
          <t>Proyecto puntual</t>
        </is>
      </c>
      <c r="H119" t="inlineStr">
        <is>
          <t>Hosting para anuncios rrhh</t>
        </is>
      </c>
      <c r="I119" s="5" t="n">
        <v>1657.51</v>
      </c>
      <c r="J119" s="3" t="n">
        <v>0.21</v>
      </c>
      <c r="K119" s="5">
        <f>ROUND(I119*(1+J119),2)</f>
        <v/>
      </c>
      <c r="L119" t="inlineStr">
        <is>
          <t>Fijo</t>
        </is>
      </c>
      <c r="M119" t="inlineStr">
        <is>
          <t>Marketing</t>
        </is>
      </c>
      <c r="N119" t="inlineStr">
        <is>
          <t>Intranet comercial</t>
        </is>
      </c>
    </row>
    <row r="120">
      <c r="A120" t="inlineStr">
        <is>
          <t>GAS-0119</t>
        </is>
      </c>
      <c r="B120" s="2" t="n">
        <v>45410</v>
      </c>
      <c r="C120" t="inlineStr">
        <is>
          <t>Operaciones</t>
        </is>
      </c>
      <c r="D120" t="inlineStr">
        <is>
          <t>Subtitulación</t>
        </is>
      </c>
      <c r="E120" t="inlineStr">
        <is>
          <t>NoticiasPro</t>
        </is>
      </c>
      <c r="F120" t="inlineStr">
        <is>
          <t>Anuncios TV</t>
        </is>
      </c>
      <c r="G120" t="inlineStr">
        <is>
          <t>Suscripción mensual</t>
        </is>
      </c>
      <c r="H120" t="inlineStr">
        <is>
          <t>Subtitulación para anuncios tv</t>
        </is>
      </c>
      <c r="I120" s="5" t="n">
        <v>2461.12</v>
      </c>
      <c r="J120" s="3" t="n">
        <v>0.21</v>
      </c>
      <c r="K120" s="5">
        <f>ROUND(I120*(1+J120),2)</f>
        <v/>
      </c>
      <c r="L120" t="inlineStr">
        <is>
          <t>Variable</t>
        </is>
      </c>
      <c r="M120" t="inlineStr">
        <is>
          <t>Comercial</t>
        </is>
      </c>
      <c r="N120" t="inlineStr">
        <is>
          <t>Portal corporativo</t>
        </is>
      </c>
    </row>
    <row r="121">
      <c r="A121" t="inlineStr">
        <is>
          <t>GAS-0120</t>
        </is>
      </c>
      <c r="B121" s="2" t="n">
        <v>45480</v>
      </c>
      <c r="C121" t="inlineStr">
        <is>
          <t>Tecnología</t>
        </is>
      </c>
      <c r="D121" t="inlineStr">
        <is>
          <t>Herramientas SEO</t>
        </is>
      </c>
      <c r="E121" t="inlineStr">
        <is>
          <t>Acme Hosting</t>
        </is>
      </c>
      <c r="F121" t="inlineStr">
        <is>
          <t>Mantenimiento web</t>
        </is>
      </c>
      <c r="G121" t="inlineStr">
        <is>
          <t>Suscripción mensual</t>
        </is>
      </c>
      <c r="H121" t="inlineStr">
        <is>
          <t>Herramientas SEO para mantenimiento web</t>
        </is>
      </c>
      <c r="I121" s="5" t="n">
        <v>1144.36</v>
      </c>
      <c r="J121" s="3" t="n">
        <v>0.21</v>
      </c>
      <c r="K121" s="5">
        <f>ROUND(I121*(1+J121),2)</f>
        <v/>
      </c>
      <c r="L121" t="inlineStr">
        <is>
          <t>Variable</t>
        </is>
      </c>
      <c r="M121" t="inlineStr">
        <is>
          <t>Tecnología</t>
        </is>
      </c>
      <c r="N121" t="inlineStr">
        <is>
          <t>Intranet operaciones</t>
        </is>
      </c>
    </row>
    <row r="122">
      <c r="A122" t="inlineStr">
        <is>
          <t>GAS-0121</t>
        </is>
      </c>
      <c r="B122" s="2" t="n">
        <v>45458</v>
      </c>
      <c r="C122" t="inlineStr">
        <is>
          <t>Administración</t>
        </is>
      </c>
      <c r="D122" t="inlineStr">
        <is>
          <t>Alquiler oficina</t>
        </is>
      </c>
      <c r="E122" t="inlineStr">
        <is>
          <t>SEO Metrics</t>
        </is>
      </c>
      <c r="F122" t="inlineStr">
        <is>
          <t>Anuncios TV</t>
        </is>
      </c>
      <c r="G122" t="inlineStr">
        <is>
          <t>Campaña</t>
        </is>
      </c>
      <c r="H122" t="inlineStr">
        <is>
          <t>Alquiler oficina para anuncios tv</t>
        </is>
      </c>
      <c r="I122" s="5" t="n">
        <v>422.13</v>
      </c>
      <c r="J122" s="3" t="n">
        <v>0.21</v>
      </c>
      <c r="K122" s="5">
        <f>ROUND(I122*(1+J122),2)</f>
        <v/>
      </c>
      <c r="L122" t="inlineStr">
        <is>
          <t>Variable</t>
        </is>
      </c>
      <c r="M122" t="inlineStr">
        <is>
          <t>Comercial</t>
        </is>
      </c>
      <c r="N122" t="inlineStr">
        <is>
          <t>Portal internacional</t>
        </is>
      </c>
    </row>
    <row r="123">
      <c r="A123" t="inlineStr">
        <is>
          <t>GAS-0122</t>
        </is>
      </c>
      <c r="B123" s="2" t="n">
        <v>45411</v>
      </c>
      <c r="C123" t="inlineStr">
        <is>
          <t>Administración</t>
        </is>
      </c>
      <c r="D123" t="inlineStr">
        <is>
          <t>Gestoría</t>
        </is>
      </c>
      <c r="E123" t="inlineStr">
        <is>
          <t>NominaPlus</t>
        </is>
      </c>
      <c r="F123" t="inlineStr">
        <is>
          <t>Traducciones</t>
        </is>
      </c>
      <c r="G123" t="inlineStr">
        <is>
          <t>Soporte anual</t>
        </is>
      </c>
      <c r="H123" t="inlineStr">
        <is>
          <t>Gestoría para traducciones</t>
        </is>
      </c>
      <c r="I123" s="5" t="n">
        <v>2278.01</v>
      </c>
      <c r="J123" s="3" t="n">
        <v>0</v>
      </c>
      <c r="K123" s="5">
        <f>ROUND(I123*(1+J123),2)</f>
        <v/>
      </c>
      <c r="L123" t="inlineStr">
        <is>
          <t>Fijo</t>
        </is>
      </c>
      <c r="M123" t="inlineStr">
        <is>
          <t>Operaciones</t>
        </is>
      </c>
      <c r="N123" t="inlineStr">
        <is>
          <t>Intranet comercial</t>
        </is>
      </c>
    </row>
    <row r="124">
      <c r="A124" t="inlineStr">
        <is>
          <t>GAS-0123</t>
        </is>
      </c>
      <c r="B124" s="2" t="n">
        <v>45369</v>
      </c>
      <c r="C124" t="inlineStr">
        <is>
          <t>Personal</t>
        </is>
      </c>
      <c r="D124" t="inlineStr">
        <is>
          <t>Formación</t>
        </is>
      </c>
      <c r="E124" t="inlineStr">
        <is>
          <t>TVSpot Studio</t>
        </is>
      </c>
      <c r="F124" t="inlineStr">
        <is>
          <t>Anuncios prensa</t>
        </is>
      </c>
      <c r="G124" t="inlineStr">
        <is>
          <t>Proyecto puntual</t>
        </is>
      </c>
      <c r="H124" t="inlineStr">
        <is>
          <t>Formación para anuncios prensa</t>
        </is>
      </c>
      <c r="I124" s="5" t="n">
        <v>6727.89</v>
      </c>
      <c r="J124" s="3" t="n">
        <v>0</v>
      </c>
      <c r="K124" s="5">
        <f>ROUND(I124*(1+J124),2)</f>
        <v/>
      </c>
      <c r="L124" t="inlineStr">
        <is>
          <t>Fijo</t>
        </is>
      </c>
      <c r="M124" t="inlineStr">
        <is>
          <t>Administración</t>
        </is>
      </c>
      <c r="N124" t="inlineStr">
        <is>
          <t>Intranet operaciones</t>
        </is>
      </c>
    </row>
    <row r="125">
      <c r="A125" t="inlineStr">
        <is>
          <t>GAS-0124</t>
        </is>
      </c>
      <c r="B125" s="2" t="n">
        <v>45623</v>
      </c>
      <c r="C125" t="inlineStr">
        <is>
          <t>Marketing</t>
        </is>
      </c>
      <c r="D125" t="inlineStr">
        <is>
          <t>Ads prensa local</t>
        </is>
      </c>
      <c r="E125" t="inlineStr">
        <is>
          <t>IntraSys</t>
        </is>
      </c>
      <c r="F125" t="inlineStr">
        <is>
          <t>Publicación de noticias</t>
        </is>
      </c>
      <c r="G125" t="inlineStr">
        <is>
          <t>Suscripción mensual</t>
        </is>
      </c>
      <c r="H125" t="inlineStr">
        <is>
          <t>Ads prensa local para publicación de noticias</t>
        </is>
      </c>
      <c r="I125" s="5" t="n">
        <v>9197.780000000001</v>
      </c>
      <c r="J125" s="3" t="n">
        <v>0.21</v>
      </c>
      <c r="K125" s="5">
        <f>ROUND(I125*(1+J125),2)</f>
        <v/>
      </c>
      <c r="L125" t="inlineStr">
        <is>
          <t>Variable</t>
        </is>
      </c>
      <c r="M125" t="inlineStr">
        <is>
          <t>Tecnología</t>
        </is>
      </c>
      <c r="N125" t="inlineStr">
        <is>
          <t>Campaña empleo</t>
        </is>
      </c>
    </row>
    <row r="126">
      <c r="A126" t="inlineStr">
        <is>
          <t>GAS-0125</t>
        </is>
      </c>
      <c r="B126" s="2" t="n">
        <v>45385</v>
      </c>
      <c r="C126" t="inlineStr">
        <is>
          <t>Personal</t>
        </is>
      </c>
      <c r="D126" t="inlineStr">
        <is>
          <t>Salarios</t>
        </is>
      </c>
      <c r="E126" t="inlineStr">
        <is>
          <t>Legal Iberia</t>
        </is>
      </c>
      <c r="F126" t="inlineStr">
        <is>
          <t>Mantenimiento intranets</t>
        </is>
      </c>
      <c r="G126" t="inlineStr">
        <is>
          <t>Suscripción mensual</t>
        </is>
      </c>
      <c r="H126" t="inlineStr">
        <is>
          <t>Salarios para mantenimiento intranets</t>
        </is>
      </c>
      <c r="I126" s="5" t="n">
        <v>7050.6</v>
      </c>
      <c r="J126" s="3" t="n">
        <v>0</v>
      </c>
      <c r="K126" s="5">
        <f>ROUND(I126*(1+J126),2)</f>
        <v/>
      </c>
      <c r="L126" t="inlineStr">
        <is>
          <t>Variable</t>
        </is>
      </c>
      <c r="M126" t="inlineStr">
        <is>
          <t>Operaciones</t>
        </is>
      </c>
      <c r="N126" t="inlineStr">
        <is>
          <t>Campaña empleo</t>
        </is>
      </c>
    </row>
    <row r="127">
      <c r="A127" t="inlineStr">
        <is>
          <t>GAS-0126</t>
        </is>
      </c>
      <c r="B127" s="2" t="n">
        <v>45551</v>
      </c>
      <c r="C127" t="inlineStr">
        <is>
          <t>Personal</t>
        </is>
      </c>
      <c r="D127" t="inlineStr">
        <is>
          <t>Salarios</t>
        </is>
      </c>
      <c r="E127" t="inlineStr">
        <is>
          <t>LinguaTech</t>
        </is>
      </c>
      <c r="F127" t="inlineStr">
        <is>
          <t>Mantenimiento intranets</t>
        </is>
      </c>
      <c r="G127" t="inlineStr">
        <is>
          <t>Campaña</t>
        </is>
      </c>
      <c r="H127" t="inlineStr">
        <is>
          <t>Salarios para mantenimiento intranets</t>
        </is>
      </c>
      <c r="I127" s="5" t="n">
        <v>2116.6</v>
      </c>
      <c r="J127" s="3" t="n">
        <v>0.21</v>
      </c>
      <c r="K127" s="5">
        <f>ROUND(I127*(1+J127),2)</f>
        <v/>
      </c>
      <c r="L127" t="inlineStr">
        <is>
          <t>Variable</t>
        </is>
      </c>
      <c r="M127" t="inlineStr">
        <is>
          <t>Comercial</t>
        </is>
      </c>
      <c r="N127" t="inlineStr">
        <is>
          <t>Campaña empleo</t>
        </is>
      </c>
    </row>
    <row r="128">
      <c r="A128" t="inlineStr">
        <is>
          <t>GAS-0127</t>
        </is>
      </c>
      <c r="B128" s="2" t="n">
        <v>45538</v>
      </c>
      <c r="C128" t="inlineStr">
        <is>
          <t>Personal</t>
        </is>
      </c>
      <c r="D128" t="inlineStr">
        <is>
          <t>Salarios</t>
        </is>
      </c>
      <c r="E128" t="inlineStr">
        <is>
          <t>LinguaTech</t>
        </is>
      </c>
      <c r="F128" t="inlineStr">
        <is>
          <t>Mantenimiento intranets</t>
        </is>
      </c>
      <c r="G128" t="inlineStr">
        <is>
          <t>Retainer trimestral</t>
        </is>
      </c>
      <c r="H128" t="inlineStr">
        <is>
          <t>Salarios para mantenimiento intranets</t>
        </is>
      </c>
      <c r="I128" s="5" t="n">
        <v>3412.64</v>
      </c>
      <c r="J128" s="3" t="n">
        <v>0.21</v>
      </c>
      <c r="K128" s="5">
        <f>ROUND(I128*(1+J128),2)</f>
        <v/>
      </c>
      <c r="L128" t="inlineStr">
        <is>
          <t>Variable</t>
        </is>
      </c>
      <c r="M128" t="inlineStr">
        <is>
          <t>Comercial</t>
        </is>
      </c>
      <c r="N128" t="inlineStr">
        <is>
          <t>Intranet operaciones</t>
        </is>
      </c>
    </row>
    <row r="129">
      <c r="A129" t="inlineStr">
        <is>
          <t>GAS-0128</t>
        </is>
      </c>
      <c r="B129" s="2" t="n">
        <v>45729</v>
      </c>
      <c r="C129" t="inlineStr">
        <is>
          <t>Tecnología</t>
        </is>
      </c>
      <c r="D129" t="inlineStr">
        <is>
          <t>Monitorización</t>
        </is>
      </c>
      <c r="E129" t="inlineStr">
        <is>
          <t>LinguaTech</t>
        </is>
      </c>
      <c r="F129" t="inlineStr">
        <is>
          <t>Anuncios prensa</t>
        </is>
      </c>
      <c r="G129" t="inlineStr">
        <is>
          <t>Retainer trimestral</t>
        </is>
      </c>
      <c r="H129" t="inlineStr">
        <is>
          <t>Monitorización para anuncios prensa</t>
        </is>
      </c>
      <c r="I129" s="5" t="n">
        <v>1981.48</v>
      </c>
      <c r="J129" s="3" t="n">
        <v>0.1</v>
      </c>
      <c r="K129" s="5">
        <f>ROUND(I129*(1+J129),2)</f>
        <v/>
      </c>
      <c r="L129" t="inlineStr">
        <is>
          <t>Fijo</t>
        </is>
      </c>
      <c r="M129" t="inlineStr">
        <is>
          <t>Administración</t>
        </is>
      </c>
      <c r="N129" t="inlineStr">
        <is>
          <t>Sección noticias</t>
        </is>
      </c>
    </row>
    <row r="130">
      <c r="A130" t="inlineStr">
        <is>
          <t>GAS-0129</t>
        </is>
      </c>
      <c r="B130" s="2" t="n">
        <v>45532</v>
      </c>
      <c r="C130" t="inlineStr">
        <is>
          <t>Personal</t>
        </is>
      </c>
      <c r="D130" t="inlineStr">
        <is>
          <t>Seguridad Social</t>
        </is>
      </c>
      <c r="E130" t="inlineStr">
        <is>
          <t>NoticiasPro</t>
        </is>
      </c>
      <c r="F130" t="inlineStr">
        <is>
          <t>Generación de noticias</t>
        </is>
      </c>
      <c r="G130" t="inlineStr">
        <is>
          <t>Proyecto puntual</t>
        </is>
      </c>
      <c r="H130" t="inlineStr">
        <is>
          <t>Seguridad Social para generación de noticias</t>
        </is>
      </c>
      <c r="I130" s="5" t="n">
        <v>4511.3</v>
      </c>
      <c r="J130" s="3" t="n">
        <v>0.21</v>
      </c>
      <c r="K130" s="5">
        <f>ROUND(I130*(1+J130),2)</f>
        <v/>
      </c>
      <c r="L130" t="inlineStr">
        <is>
          <t>Fijo</t>
        </is>
      </c>
      <c r="M130" t="inlineStr">
        <is>
          <t>Operaciones</t>
        </is>
      </c>
      <c r="N130" t="inlineStr">
        <is>
          <t>Portal internacional</t>
        </is>
      </c>
    </row>
    <row r="131">
      <c r="A131" t="inlineStr">
        <is>
          <t>GAS-0130</t>
        </is>
      </c>
      <c r="B131" s="2" t="n">
        <v>45501</v>
      </c>
      <c r="C131" t="inlineStr">
        <is>
          <t>Tecnología</t>
        </is>
      </c>
      <c r="D131" t="inlineStr">
        <is>
          <t>Software traducción</t>
        </is>
      </c>
      <c r="E131" t="inlineStr">
        <is>
          <t>Acme Hosting</t>
        </is>
      </c>
      <c r="F131" t="inlineStr">
        <is>
          <t>Anuncios prensa</t>
        </is>
      </c>
      <c r="G131" t="inlineStr">
        <is>
          <t>Suscripción mensual</t>
        </is>
      </c>
      <c r="H131" t="inlineStr">
        <is>
          <t>Software traducción para anuncios prensa</t>
        </is>
      </c>
      <c r="I131" s="5" t="n">
        <v>945.7</v>
      </c>
      <c r="J131" s="3" t="n">
        <v>0.21</v>
      </c>
      <c r="K131" s="5">
        <f>ROUND(I131*(1+J131),2)</f>
        <v/>
      </c>
      <c r="L131" t="inlineStr">
        <is>
          <t>Fijo</t>
        </is>
      </c>
      <c r="M131" t="inlineStr">
        <is>
          <t>Comercial</t>
        </is>
      </c>
      <c r="N131" t="inlineStr">
        <is>
          <t>Microsite RRHH</t>
        </is>
      </c>
    </row>
    <row r="132">
      <c r="A132" t="inlineStr">
        <is>
          <t>GAS-0131</t>
        </is>
      </c>
      <c r="B132" s="2" t="n">
        <v>45509</v>
      </c>
      <c r="C132" t="inlineStr">
        <is>
          <t>Administración</t>
        </is>
      </c>
      <c r="D132" t="inlineStr">
        <is>
          <t>Asesoría legal</t>
        </is>
      </c>
      <c r="E132" t="inlineStr">
        <is>
          <t>Redacción Global</t>
        </is>
      </c>
      <c r="F132" t="inlineStr">
        <is>
          <t>Anuncios TV</t>
        </is>
      </c>
      <c r="G132" t="inlineStr">
        <is>
          <t>Proyecto puntual</t>
        </is>
      </c>
      <c r="H132" t="inlineStr">
        <is>
          <t>Asesoría legal para anuncios tv</t>
        </is>
      </c>
      <c r="I132" s="5" t="n">
        <v>1410.13</v>
      </c>
      <c r="J132" s="3" t="n">
        <v>0.21</v>
      </c>
      <c r="K132" s="5">
        <f>ROUND(I132*(1+J132),2)</f>
        <v/>
      </c>
      <c r="L132" t="inlineStr">
        <is>
          <t>Variable</t>
        </is>
      </c>
      <c r="M132" t="inlineStr">
        <is>
          <t>Operaciones</t>
        </is>
      </c>
      <c r="N132" t="inlineStr">
        <is>
          <t>Portal internacional</t>
        </is>
      </c>
    </row>
    <row r="133">
      <c r="A133" t="inlineStr">
        <is>
          <t>GAS-0132</t>
        </is>
      </c>
      <c r="B133" s="2" t="n">
        <v>45631</v>
      </c>
      <c r="C133" t="inlineStr">
        <is>
          <t>Marketing</t>
        </is>
      </c>
      <c r="D133" t="inlineStr">
        <is>
          <t>Ads LinkedIn</t>
        </is>
      </c>
      <c r="E133" t="inlineStr">
        <is>
          <t>MediaCloud</t>
        </is>
      </c>
      <c r="F133" t="inlineStr">
        <is>
          <t>Publicación de noticias</t>
        </is>
      </c>
      <c r="G133" t="inlineStr">
        <is>
          <t>Suscripción mensual</t>
        </is>
      </c>
      <c r="H133" t="inlineStr">
        <is>
          <t>Ads LinkedIn para publicación de noticias</t>
        </is>
      </c>
      <c r="I133" s="5" t="n">
        <v>8268.48</v>
      </c>
      <c r="J133" s="3" t="n">
        <v>0</v>
      </c>
      <c r="K133" s="5">
        <f>ROUND(I133*(1+J133),2)</f>
        <v/>
      </c>
      <c r="L133" t="inlineStr">
        <is>
          <t>Fijo</t>
        </is>
      </c>
      <c r="M133" t="inlineStr">
        <is>
          <t>Marketing</t>
        </is>
      </c>
      <c r="N133" t="inlineStr">
        <is>
          <t>Microsite RRHH</t>
        </is>
      </c>
    </row>
    <row r="134">
      <c r="A134" t="inlineStr">
        <is>
          <t>GAS-0133</t>
        </is>
      </c>
      <c r="B134" s="2" t="n">
        <v>45548</v>
      </c>
      <c r="C134" t="inlineStr">
        <is>
          <t>Marketing</t>
        </is>
      </c>
      <c r="D134" t="inlineStr">
        <is>
          <t>Ads LinkedIn</t>
        </is>
      </c>
      <c r="E134" t="inlineStr">
        <is>
          <t>NominaPlus</t>
        </is>
      </c>
      <c r="F134" t="inlineStr">
        <is>
          <t>Anuncios TV</t>
        </is>
      </c>
      <c r="G134" t="inlineStr">
        <is>
          <t>Campaña</t>
        </is>
      </c>
      <c r="H134" t="inlineStr">
        <is>
          <t>Ads LinkedIn para anuncios tv</t>
        </is>
      </c>
      <c r="I134" s="5" t="n">
        <v>2240.14</v>
      </c>
      <c r="J134" s="3" t="n">
        <v>0.1</v>
      </c>
      <c r="K134" s="5">
        <f>ROUND(I134*(1+J134),2)</f>
        <v/>
      </c>
      <c r="L134" t="inlineStr">
        <is>
          <t>Variable</t>
        </is>
      </c>
      <c r="M134" t="inlineStr">
        <is>
          <t>Marketing</t>
        </is>
      </c>
      <c r="N134" t="inlineStr">
        <is>
          <t>Intranet comercial</t>
        </is>
      </c>
    </row>
    <row r="135">
      <c r="A135" t="inlineStr">
        <is>
          <t>GAS-0134</t>
        </is>
      </c>
      <c r="B135" s="2" t="n">
        <v>45295</v>
      </c>
      <c r="C135" t="inlineStr">
        <is>
          <t>Personal</t>
        </is>
      </c>
      <c r="D135" t="inlineStr">
        <is>
          <t>Formación</t>
        </is>
      </c>
      <c r="E135" t="inlineStr">
        <is>
          <t>MediaCloud</t>
        </is>
      </c>
      <c r="F135" t="inlineStr">
        <is>
          <t>Anuncios RRHH</t>
        </is>
      </c>
      <c r="G135" t="inlineStr">
        <is>
          <t>Campaña</t>
        </is>
      </c>
      <c r="H135" t="inlineStr">
        <is>
          <t>Formación para anuncios rrhh</t>
        </is>
      </c>
      <c r="I135" s="5" t="n">
        <v>7143.86</v>
      </c>
      <c r="J135" s="3" t="n">
        <v>0</v>
      </c>
      <c r="K135" s="5">
        <f>ROUND(I135*(1+J135),2)</f>
        <v/>
      </c>
      <c r="L135" t="inlineStr">
        <is>
          <t>Fijo</t>
        </is>
      </c>
      <c r="M135" t="inlineStr">
        <is>
          <t>Operaciones</t>
        </is>
      </c>
      <c r="N135" t="inlineStr">
        <is>
          <t>Microsite RRHH</t>
        </is>
      </c>
    </row>
    <row r="136">
      <c r="A136" t="inlineStr">
        <is>
          <t>GAS-0135</t>
        </is>
      </c>
      <c r="B136" s="2" t="n">
        <v>45348</v>
      </c>
      <c r="C136" t="inlineStr">
        <is>
          <t>Tecnología</t>
        </is>
      </c>
      <c r="D136" t="inlineStr">
        <is>
          <t>Herramientas SEO</t>
        </is>
      </c>
      <c r="E136" t="inlineStr">
        <is>
          <t>Legal Iberia</t>
        </is>
      </c>
      <c r="F136" t="inlineStr">
        <is>
          <t>Anuncios prensa</t>
        </is>
      </c>
      <c r="G136" t="inlineStr">
        <is>
          <t>Soporte anual</t>
        </is>
      </c>
      <c r="H136" t="inlineStr">
        <is>
          <t>Herramientas SEO para anuncios prensa</t>
        </is>
      </c>
      <c r="I136" s="5" t="n">
        <v>949.1900000000001</v>
      </c>
      <c r="J136" s="3" t="n">
        <v>0.21</v>
      </c>
      <c r="K136" s="5">
        <f>ROUND(I136*(1+J136),2)</f>
        <v/>
      </c>
      <c r="L136" t="inlineStr">
        <is>
          <t>Fijo</t>
        </is>
      </c>
      <c r="M136" t="inlineStr">
        <is>
          <t>Comercial</t>
        </is>
      </c>
      <c r="N136" t="inlineStr">
        <is>
          <t>Portal corporativo</t>
        </is>
      </c>
    </row>
    <row r="137">
      <c r="A137" t="inlineStr">
        <is>
          <t>GAS-0136</t>
        </is>
      </c>
      <c r="B137" s="2" t="n">
        <v>45617</v>
      </c>
      <c r="C137" t="inlineStr">
        <is>
          <t>Marketing</t>
        </is>
      </c>
      <c r="D137" t="inlineStr">
        <is>
          <t>Ads Google</t>
        </is>
      </c>
      <c r="E137" t="inlineStr">
        <is>
          <t>MediaCloud</t>
        </is>
      </c>
      <c r="F137" t="inlineStr">
        <is>
          <t>Generación de noticias</t>
        </is>
      </c>
      <c r="G137" t="inlineStr">
        <is>
          <t>Suscripción mensual</t>
        </is>
      </c>
      <c r="H137" t="inlineStr">
        <is>
          <t>Ads Google para generación de noticias</t>
        </is>
      </c>
      <c r="I137" s="5" t="n">
        <v>5456.55</v>
      </c>
      <c r="J137" s="3" t="n">
        <v>0.21</v>
      </c>
      <c r="K137" s="5">
        <f>ROUND(I137*(1+J137),2)</f>
        <v/>
      </c>
      <c r="L137" t="inlineStr">
        <is>
          <t>Fijo</t>
        </is>
      </c>
      <c r="M137" t="inlineStr">
        <is>
          <t>Marketing</t>
        </is>
      </c>
      <c r="N137" t="inlineStr">
        <is>
          <t>Intranet comercial</t>
        </is>
      </c>
    </row>
    <row r="138">
      <c r="A138" t="inlineStr">
        <is>
          <t>GAS-0137</t>
        </is>
      </c>
      <c r="B138" s="2" t="n">
        <v>45676</v>
      </c>
      <c r="C138" t="inlineStr">
        <is>
          <t>Personal</t>
        </is>
      </c>
      <c r="D138" t="inlineStr">
        <is>
          <t>Seguridad Social</t>
        </is>
      </c>
      <c r="E138" t="inlineStr">
        <is>
          <t>Acme Hosting</t>
        </is>
      </c>
      <c r="F138" t="inlineStr">
        <is>
          <t>Mantenimiento web</t>
        </is>
      </c>
      <c r="G138" t="inlineStr">
        <is>
          <t>Soporte anual</t>
        </is>
      </c>
      <c r="H138" t="inlineStr">
        <is>
          <t>Seguridad Social para mantenimiento web</t>
        </is>
      </c>
      <c r="I138" s="5" t="n">
        <v>5475.22</v>
      </c>
      <c r="J138" s="3" t="n">
        <v>0</v>
      </c>
      <c r="K138" s="5">
        <f>ROUND(I138*(1+J138),2)</f>
        <v/>
      </c>
      <c r="L138" t="inlineStr">
        <is>
          <t>Fijo</t>
        </is>
      </c>
      <c r="M138" t="inlineStr">
        <is>
          <t>Comercial</t>
        </is>
      </c>
      <c r="N138" t="inlineStr">
        <is>
          <t>Portal corporativo</t>
        </is>
      </c>
    </row>
    <row r="139">
      <c r="A139" t="inlineStr">
        <is>
          <t>GAS-0138</t>
        </is>
      </c>
      <c r="B139" s="2" t="n">
        <v>45747</v>
      </c>
      <c r="C139" t="inlineStr">
        <is>
          <t>Tecnología</t>
        </is>
      </c>
      <c r="D139" t="inlineStr">
        <is>
          <t>Monitorización</t>
        </is>
      </c>
      <c r="E139" t="inlineStr">
        <is>
          <t>AdVision</t>
        </is>
      </c>
      <c r="F139" t="inlineStr">
        <is>
          <t>Generación de noticias</t>
        </is>
      </c>
      <c r="G139" t="inlineStr">
        <is>
          <t>Retainer trimestral</t>
        </is>
      </c>
      <c r="H139" t="inlineStr">
        <is>
          <t>Monitorización para generación de noticias</t>
        </is>
      </c>
      <c r="I139" s="5" t="n">
        <v>1177.9</v>
      </c>
      <c r="J139" s="3" t="n">
        <v>0.21</v>
      </c>
      <c r="K139" s="5">
        <f>ROUND(I139*(1+J139),2)</f>
        <v/>
      </c>
      <c r="L139" t="inlineStr">
        <is>
          <t>Variable</t>
        </is>
      </c>
      <c r="M139" t="inlineStr">
        <is>
          <t>Marketing</t>
        </is>
      </c>
      <c r="N139" t="inlineStr">
        <is>
          <t>Microsite RRHH</t>
        </is>
      </c>
    </row>
    <row r="140">
      <c r="A140" t="inlineStr">
        <is>
          <t>GAS-0139</t>
        </is>
      </c>
      <c r="B140" s="2" t="n">
        <v>45363</v>
      </c>
      <c r="C140" t="inlineStr">
        <is>
          <t>Marketing</t>
        </is>
      </c>
      <c r="D140" t="inlineStr">
        <is>
          <t>Ads prensa local</t>
        </is>
      </c>
      <c r="E140" t="inlineStr">
        <is>
          <t>Acme Hosting</t>
        </is>
      </c>
      <c r="F140" t="inlineStr">
        <is>
          <t>Anuncios RRHH</t>
        </is>
      </c>
      <c r="G140" t="inlineStr">
        <is>
          <t>Soporte anual</t>
        </is>
      </c>
      <c r="H140" t="inlineStr">
        <is>
          <t>Ads prensa local para anuncios rrhh</t>
        </is>
      </c>
      <c r="I140" s="5" t="n">
        <v>10485.34</v>
      </c>
      <c r="J140" s="3" t="n">
        <v>0</v>
      </c>
      <c r="K140" s="5">
        <f>ROUND(I140*(1+J140),2)</f>
        <v/>
      </c>
      <c r="L140" t="inlineStr">
        <is>
          <t>Variable</t>
        </is>
      </c>
      <c r="M140" t="inlineStr">
        <is>
          <t>Comercial</t>
        </is>
      </c>
      <c r="N140" t="inlineStr">
        <is>
          <t>Portal internacional</t>
        </is>
      </c>
    </row>
    <row r="141">
      <c r="A141" t="inlineStr">
        <is>
          <t>GAS-0140</t>
        </is>
      </c>
      <c r="B141" s="2" t="n">
        <v>45300</v>
      </c>
      <c r="C141" t="inlineStr">
        <is>
          <t>Tecnología</t>
        </is>
      </c>
      <c r="D141" t="inlineStr">
        <is>
          <t>Software traducción</t>
        </is>
      </c>
      <c r="E141" t="inlineStr">
        <is>
          <t>SEO Metrics</t>
        </is>
      </c>
      <c r="F141" t="inlineStr">
        <is>
          <t>Anuncios TV</t>
        </is>
      </c>
      <c r="G141" t="inlineStr">
        <is>
          <t>Retainer trimestral</t>
        </is>
      </c>
      <c r="H141" t="inlineStr">
        <is>
          <t>Software traducción para anuncios tv</t>
        </is>
      </c>
      <c r="I141" s="5" t="n">
        <v>516.01</v>
      </c>
      <c r="J141" s="3" t="n">
        <v>0</v>
      </c>
      <c r="K141" s="5">
        <f>ROUND(I141*(1+J141),2)</f>
        <v/>
      </c>
      <c r="L141" t="inlineStr">
        <is>
          <t>Variable</t>
        </is>
      </c>
      <c r="M141" t="inlineStr">
        <is>
          <t>Marketing</t>
        </is>
      </c>
      <c r="N141" t="inlineStr">
        <is>
          <t>Campaña empleo</t>
        </is>
      </c>
    </row>
    <row r="142">
      <c r="A142" t="inlineStr">
        <is>
          <t>GAS-0141</t>
        </is>
      </c>
      <c r="B142" s="2" t="n">
        <v>45650</v>
      </c>
      <c r="C142" t="inlineStr">
        <is>
          <t>Marketing</t>
        </is>
      </c>
      <c r="D142" t="inlineStr">
        <is>
          <t>Producción TV</t>
        </is>
      </c>
      <c r="E142" t="inlineStr">
        <is>
          <t>LinguaTech</t>
        </is>
      </c>
      <c r="F142" t="inlineStr">
        <is>
          <t>Traducciones</t>
        </is>
      </c>
      <c r="G142" t="inlineStr">
        <is>
          <t>Campaña</t>
        </is>
      </c>
      <c r="H142" t="inlineStr">
        <is>
          <t>Producción TV para traducciones</t>
        </is>
      </c>
      <c r="I142" s="5" t="n">
        <v>11315.29</v>
      </c>
      <c r="J142" s="3" t="n">
        <v>0.21</v>
      </c>
      <c r="K142" s="5">
        <f>ROUND(I142*(1+J142),2)</f>
        <v/>
      </c>
      <c r="L142" t="inlineStr">
        <is>
          <t>Fijo</t>
        </is>
      </c>
      <c r="M142" t="inlineStr">
        <is>
          <t>Comercial</t>
        </is>
      </c>
      <c r="N142" t="inlineStr">
        <is>
          <t>Portal corporativo</t>
        </is>
      </c>
    </row>
    <row r="143">
      <c r="A143" t="inlineStr">
        <is>
          <t>GAS-0142</t>
        </is>
      </c>
      <c r="B143" s="2" t="n">
        <v>45351</v>
      </c>
      <c r="C143" t="inlineStr">
        <is>
          <t>Personal</t>
        </is>
      </c>
      <c r="D143" t="inlineStr">
        <is>
          <t>Salarios</t>
        </is>
      </c>
      <c r="E143" t="inlineStr">
        <is>
          <t>Legal Iberia</t>
        </is>
      </c>
      <c r="F143" t="inlineStr">
        <is>
          <t>Generación de noticias</t>
        </is>
      </c>
      <c r="G143" t="inlineStr">
        <is>
          <t>Soporte anual</t>
        </is>
      </c>
      <c r="H143" t="inlineStr">
        <is>
          <t>Salarios para generación de noticias</t>
        </is>
      </c>
      <c r="I143" s="5" t="n">
        <v>7276.19</v>
      </c>
      <c r="J143" s="3" t="n">
        <v>0.21</v>
      </c>
      <c r="K143" s="5">
        <f>ROUND(I143*(1+J143),2)</f>
        <v/>
      </c>
      <c r="L143" t="inlineStr">
        <is>
          <t>Fijo</t>
        </is>
      </c>
      <c r="M143" t="inlineStr">
        <is>
          <t>Comercial</t>
        </is>
      </c>
      <c r="N143" t="inlineStr">
        <is>
          <t>Sección noticias</t>
        </is>
      </c>
    </row>
    <row r="144">
      <c r="A144" t="inlineStr">
        <is>
          <t>GAS-0143</t>
        </is>
      </c>
      <c r="B144" s="2" t="n">
        <v>45684</v>
      </c>
      <c r="C144" t="inlineStr">
        <is>
          <t>Marketing</t>
        </is>
      </c>
      <c r="D144" t="inlineStr">
        <is>
          <t>Ads LinkedIn</t>
        </is>
      </c>
      <c r="E144" t="inlineStr">
        <is>
          <t>IntraSys</t>
        </is>
      </c>
      <c r="F144" t="inlineStr">
        <is>
          <t>Traducciones</t>
        </is>
      </c>
      <c r="G144" t="inlineStr">
        <is>
          <t>Proyecto puntual</t>
        </is>
      </c>
      <c r="H144" t="inlineStr">
        <is>
          <t>Ads LinkedIn para traducciones</t>
        </is>
      </c>
      <c r="I144" s="5" t="n">
        <v>2174.75</v>
      </c>
      <c r="J144" s="3" t="n">
        <v>0.21</v>
      </c>
      <c r="K144" s="5">
        <f>ROUND(I144*(1+J144),2)</f>
        <v/>
      </c>
      <c r="L144" t="inlineStr">
        <is>
          <t>Variable</t>
        </is>
      </c>
      <c r="M144" t="inlineStr">
        <is>
          <t>Operaciones</t>
        </is>
      </c>
      <c r="N144" t="inlineStr">
        <is>
          <t>Sección noticias</t>
        </is>
      </c>
    </row>
    <row r="145">
      <c r="A145" t="inlineStr">
        <is>
          <t>GAS-0144</t>
        </is>
      </c>
      <c r="B145" s="2" t="n">
        <v>45325</v>
      </c>
      <c r="C145" t="inlineStr">
        <is>
          <t>Operaciones</t>
        </is>
      </c>
      <c r="D145" t="inlineStr">
        <is>
          <t>QA intranet</t>
        </is>
      </c>
      <c r="E145" t="inlineStr">
        <is>
          <t>SEO Metrics</t>
        </is>
      </c>
      <c r="F145" t="inlineStr">
        <is>
          <t>Traducciones</t>
        </is>
      </c>
      <c r="G145" t="inlineStr">
        <is>
          <t>Retainer trimestral</t>
        </is>
      </c>
      <c r="H145" t="inlineStr">
        <is>
          <t>QA intranet para traducciones</t>
        </is>
      </c>
      <c r="I145" s="5" t="n">
        <v>3519.44</v>
      </c>
      <c r="J145" s="3" t="n">
        <v>0.21</v>
      </c>
      <c r="K145" s="5">
        <f>ROUND(I145*(1+J145),2)</f>
        <v/>
      </c>
      <c r="L145" t="inlineStr">
        <is>
          <t>Variable</t>
        </is>
      </c>
      <c r="M145" t="inlineStr">
        <is>
          <t>Administración</t>
        </is>
      </c>
      <c r="N145" t="inlineStr">
        <is>
          <t>Microsite RRHH</t>
        </is>
      </c>
    </row>
    <row r="146">
      <c r="A146" t="inlineStr">
        <is>
          <t>GAS-0145</t>
        </is>
      </c>
      <c r="B146" s="2" t="n">
        <v>45673</v>
      </c>
      <c r="C146" t="inlineStr">
        <is>
          <t>Operaciones</t>
        </is>
      </c>
      <c r="D146" t="inlineStr">
        <is>
          <t>Revisión editorial</t>
        </is>
      </c>
      <c r="E146" t="inlineStr">
        <is>
          <t>LinguaTech</t>
        </is>
      </c>
      <c r="F146" t="inlineStr">
        <is>
          <t>Generación de noticias</t>
        </is>
      </c>
      <c r="G146" t="inlineStr">
        <is>
          <t>Soporte anual</t>
        </is>
      </c>
      <c r="H146" t="inlineStr">
        <is>
          <t>Revisión editorial para generación de noticias</t>
        </is>
      </c>
      <c r="I146" s="5" t="n">
        <v>4482.4</v>
      </c>
      <c r="J146" s="3" t="n">
        <v>0.21</v>
      </c>
      <c r="K146" s="5">
        <f>ROUND(I146*(1+J146),2)</f>
        <v/>
      </c>
      <c r="L146" t="inlineStr">
        <is>
          <t>Fijo</t>
        </is>
      </c>
      <c r="M146" t="inlineStr">
        <is>
          <t>Tecnología</t>
        </is>
      </c>
      <c r="N146" t="inlineStr">
        <is>
          <t>Microsite RRHH</t>
        </is>
      </c>
    </row>
    <row r="147">
      <c r="A147" t="inlineStr">
        <is>
          <t>GAS-0146</t>
        </is>
      </c>
      <c r="B147" s="2" t="n">
        <v>45478</v>
      </c>
      <c r="C147" t="inlineStr">
        <is>
          <t>Tecnología</t>
        </is>
      </c>
      <c r="D147" t="inlineStr">
        <is>
          <t>Hosting</t>
        </is>
      </c>
      <c r="E147" t="inlineStr">
        <is>
          <t>SEO Metrics</t>
        </is>
      </c>
      <c r="F147" t="inlineStr">
        <is>
          <t>Generación de noticias</t>
        </is>
      </c>
      <c r="G147" t="inlineStr">
        <is>
          <t>Proyecto puntual</t>
        </is>
      </c>
      <c r="H147" t="inlineStr">
        <is>
          <t>Hosting para generación de noticias</t>
        </is>
      </c>
      <c r="I147" s="5" t="n">
        <v>1322.6</v>
      </c>
      <c r="J147" s="3" t="n">
        <v>0.1</v>
      </c>
      <c r="K147" s="5">
        <f>ROUND(I147*(1+J147),2)</f>
        <v/>
      </c>
      <c r="L147" t="inlineStr">
        <is>
          <t>Fijo</t>
        </is>
      </c>
      <c r="M147" t="inlineStr">
        <is>
          <t>Operaciones</t>
        </is>
      </c>
      <c r="N147" t="inlineStr">
        <is>
          <t>Microsite RRHH</t>
        </is>
      </c>
    </row>
    <row r="148">
      <c r="A148" t="inlineStr">
        <is>
          <t>GAS-0147</t>
        </is>
      </c>
      <c r="B148" s="2" t="n">
        <v>45599</v>
      </c>
      <c r="C148" t="inlineStr">
        <is>
          <t>Personal</t>
        </is>
      </c>
      <c r="D148" t="inlineStr">
        <is>
          <t>Seguridad Social</t>
        </is>
      </c>
      <c r="E148" t="inlineStr">
        <is>
          <t>IntraSys</t>
        </is>
      </c>
      <c r="F148" t="inlineStr">
        <is>
          <t>Anuncios RRHH</t>
        </is>
      </c>
      <c r="G148" t="inlineStr">
        <is>
          <t>Proyecto puntual</t>
        </is>
      </c>
      <c r="H148" t="inlineStr">
        <is>
          <t>Seguridad Social para anuncios rrhh</t>
        </is>
      </c>
      <c r="I148" s="5" t="n">
        <v>2256.32</v>
      </c>
      <c r="J148" s="3" t="n">
        <v>0</v>
      </c>
      <c r="K148" s="5">
        <f>ROUND(I148*(1+J148),2)</f>
        <v/>
      </c>
      <c r="L148" t="inlineStr">
        <is>
          <t>Variable</t>
        </is>
      </c>
      <c r="M148" t="inlineStr">
        <is>
          <t>Tecnología</t>
        </is>
      </c>
      <c r="N148" t="inlineStr">
        <is>
          <t>Intranet comercial</t>
        </is>
      </c>
    </row>
    <row r="149">
      <c r="A149" t="inlineStr">
        <is>
          <t>GAS-0148</t>
        </is>
      </c>
      <c r="B149" s="2" t="n">
        <v>45706</v>
      </c>
      <c r="C149" t="inlineStr">
        <is>
          <t>Personal</t>
        </is>
      </c>
      <c r="D149" t="inlineStr">
        <is>
          <t>Formación</t>
        </is>
      </c>
      <c r="E149" t="inlineStr">
        <is>
          <t>AdVision</t>
        </is>
      </c>
      <c r="F149" t="inlineStr">
        <is>
          <t>Anuncios internet</t>
        </is>
      </c>
      <c r="G149" t="inlineStr">
        <is>
          <t>Proyecto puntual</t>
        </is>
      </c>
      <c r="H149" t="inlineStr">
        <is>
          <t>Formación para anuncios internet</t>
        </is>
      </c>
      <c r="I149" s="5" t="n">
        <v>5806.86</v>
      </c>
      <c r="J149" s="3" t="n">
        <v>0.21</v>
      </c>
      <c r="K149" s="5">
        <f>ROUND(I149*(1+J149),2)</f>
        <v/>
      </c>
      <c r="L149" t="inlineStr">
        <is>
          <t>Fijo</t>
        </is>
      </c>
      <c r="M149" t="inlineStr">
        <is>
          <t>Operaciones</t>
        </is>
      </c>
      <c r="N149" t="inlineStr">
        <is>
          <t>Sección noticias</t>
        </is>
      </c>
    </row>
    <row r="150">
      <c r="A150" t="inlineStr">
        <is>
          <t>GAS-0149</t>
        </is>
      </c>
      <c r="B150" s="2" t="n">
        <v>45464</v>
      </c>
      <c r="C150" t="inlineStr">
        <is>
          <t>Operaciones</t>
        </is>
      </c>
      <c r="D150" t="inlineStr">
        <is>
          <t>QA intranet</t>
        </is>
      </c>
      <c r="E150" t="inlineStr">
        <is>
          <t>TVSpot Studio</t>
        </is>
      </c>
      <c r="F150" t="inlineStr">
        <is>
          <t>Generación de noticias</t>
        </is>
      </c>
      <c r="G150" t="inlineStr">
        <is>
          <t>Campaña</t>
        </is>
      </c>
      <c r="H150" t="inlineStr">
        <is>
          <t>QA intranet para generación de noticias</t>
        </is>
      </c>
      <c r="I150" s="5" t="n">
        <v>5947.72</v>
      </c>
      <c r="J150" s="3" t="n">
        <v>0.21</v>
      </c>
      <c r="K150" s="5">
        <f>ROUND(I150*(1+J150),2)</f>
        <v/>
      </c>
      <c r="L150" t="inlineStr">
        <is>
          <t>Variable</t>
        </is>
      </c>
      <c r="M150" t="inlineStr">
        <is>
          <t>Marketing</t>
        </is>
      </c>
      <c r="N150" t="inlineStr">
        <is>
          <t>Intranet comercial</t>
        </is>
      </c>
    </row>
    <row r="151">
      <c r="A151" t="inlineStr">
        <is>
          <t>GAS-0150</t>
        </is>
      </c>
      <c r="B151" s="2" t="n">
        <v>45677</v>
      </c>
      <c r="C151" t="inlineStr">
        <is>
          <t>Tecnología</t>
        </is>
      </c>
      <c r="D151" t="inlineStr">
        <is>
          <t>Herramientas SEO</t>
        </is>
      </c>
      <c r="E151" t="inlineStr">
        <is>
          <t>CloudPulse</t>
        </is>
      </c>
      <c r="F151" t="inlineStr">
        <is>
          <t>Generación de noticias</t>
        </is>
      </c>
      <c r="G151" t="inlineStr">
        <is>
          <t>Suscripción mensual</t>
        </is>
      </c>
      <c r="H151" t="inlineStr">
        <is>
          <t>Herramientas SEO para generación de noticias</t>
        </is>
      </c>
      <c r="I151" s="5" t="n">
        <v>532.61</v>
      </c>
      <c r="J151" s="3" t="n">
        <v>0.21</v>
      </c>
      <c r="K151" s="5">
        <f>ROUND(I151*(1+J151),2)</f>
        <v/>
      </c>
      <c r="L151" t="inlineStr">
        <is>
          <t>Variable</t>
        </is>
      </c>
      <c r="M151" t="inlineStr">
        <is>
          <t>Comercial</t>
        </is>
      </c>
      <c r="N151" t="inlineStr">
        <is>
          <t>Sección noticias</t>
        </is>
      </c>
    </row>
    <row r="152">
      <c r="A152" t="inlineStr">
        <is>
          <t>GAS-0151</t>
        </is>
      </c>
      <c r="B152" s="2" t="n">
        <v>45477</v>
      </c>
      <c r="C152" t="inlineStr">
        <is>
          <t>Tecnología</t>
        </is>
      </c>
      <c r="D152" t="inlineStr">
        <is>
          <t>Software traducción</t>
        </is>
      </c>
      <c r="E152" t="inlineStr">
        <is>
          <t>Redacción Global</t>
        </is>
      </c>
      <c r="F152" t="inlineStr">
        <is>
          <t>Generación de noticias</t>
        </is>
      </c>
      <c r="G152" t="inlineStr">
        <is>
          <t>Soporte anual</t>
        </is>
      </c>
      <c r="H152" t="inlineStr">
        <is>
          <t>Software traducción para generación de noticias</t>
        </is>
      </c>
      <c r="I152" s="5" t="n">
        <v>566.66</v>
      </c>
      <c r="J152" s="3" t="n">
        <v>0</v>
      </c>
      <c r="K152" s="5">
        <f>ROUND(I152*(1+J152),2)</f>
        <v/>
      </c>
      <c r="L152" t="inlineStr">
        <is>
          <t>Fijo</t>
        </is>
      </c>
      <c r="M152" t="inlineStr">
        <is>
          <t>Marketing</t>
        </is>
      </c>
      <c r="N152" t="inlineStr">
        <is>
          <t>Microsite RRHH</t>
        </is>
      </c>
    </row>
    <row r="153">
      <c r="A153" t="inlineStr">
        <is>
          <t>GAS-0152</t>
        </is>
      </c>
      <c r="B153" s="2" t="n">
        <v>45624</v>
      </c>
      <c r="C153" t="inlineStr">
        <is>
          <t>Marketing</t>
        </is>
      </c>
      <c r="D153" t="inlineStr">
        <is>
          <t>Ads Google</t>
        </is>
      </c>
      <c r="E153" t="inlineStr">
        <is>
          <t>AdVision</t>
        </is>
      </c>
      <c r="F153" t="inlineStr">
        <is>
          <t>Mantenimiento web</t>
        </is>
      </c>
      <c r="G153" t="inlineStr">
        <is>
          <t>Soporte anual</t>
        </is>
      </c>
      <c r="H153" t="inlineStr">
        <is>
          <t>Ads Google para mantenimiento web</t>
        </is>
      </c>
      <c r="I153" s="5" t="n">
        <v>2401.7</v>
      </c>
      <c r="J153" s="3" t="n">
        <v>0.21</v>
      </c>
      <c r="K153" s="5">
        <f>ROUND(I153*(1+J153),2)</f>
        <v/>
      </c>
      <c r="L153" t="inlineStr">
        <is>
          <t>Fijo</t>
        </is>
      </c>
      <c r="M153" t="inlineStr">
        <is>
          <t>Marketing</t>
        </is>
      </c>
      <c r="N153" t="inlineStr">
        <is>
          <t>Campaña empleo</t>
        </is>
      </c>
    </row>
    <row r="154">
      <c r="A154" t="inlineStr">
        <is>
          <t>GAS-0153</t>
        </is>
      </c>
      <c r="B154" s="2" t="n">
        <v>45646</v>
      </c>
      <c r="C154" t="inlineStr">
        <is>
          <t>Personal</t>
        </is>
      </c>
      <c r="D154" t="inlineStr">
        <is>
          <t>Salarios</t>
        </is>
      </c>
      <c r="E154" t="inlineStr">
        <is>
          <t>SEO Metrics</t>
        </is>
      </c>
      <c r="F154" t="inlineStr">
        <is>
          <t>Anuncios prensa</t>
        </is>
      </c>
      <c r="G154" t="inlineStr">
        <is>
          <t>Suscripción mensual</t>
        </is>
      </c>
      <c r="H154" t="inlineStr">
        <is>
          <t>Salarios para anuncios prensa</t>
        </is>
      </c>
      <c r="I154" s="5" t="n">
        <v>4766.97</v>
      </c>
      <c r="J154" s="3" t="n">
        <v>0.21</v>
      </c>
      <c r="K154" s="5">
        <f>ROUND(I154*(1+J154),2)</f>
        <v/>
      </c>
      <c r="L154" t="inlineStr">
        <is>
          <t>Variable</t>
        </is>
      </c>
      <c r="M154" t="inlineStr">
        <is>
          <t>Tecnología</t>
        </is>
      </c>
      <c r="N154" t="inlineStr">
        <is>
          <t>Intranet operaciones</t>
        </is>
      </c>
    </row>
    <row r="155">
      <c r="A155" t="inlineStr">
        <is>
          <t>GAS-0154</t>
        </is>
      </c>
      <c r="B155" s="2" t="n">
        <v>45585</v>
      </c>
      <c r="C155" t="inlineStr">
        <is>
          <t>Tecnología</t>
        </is>
      </c>
      <c r="D155" t="inlineStr">
        <is>
          <t>Hosting</t>
        </is>
      </c>
      <c r="E155" t="inlineStr">
        <is>
          <t>CloudPulse</t>
        </is>
      </c>
      <c r="F155" t="inlineStr">
        <is>
          <t>Traducciones</t>
        </is>
      </c>
      <c r="G155" t="inlineStr">
        <is>
          <t>Campaña</t>
        </is>
      </c>
      <c r="H155" t="inlineStr">
        <is>
          <t>Hosting para traducciones</t>
        </is>
      </c>
      <c r="I155" s="5" t="n">
        <v>1214.99</v>
      </c>
      <c r="J155" s="3" t="n">
        <v>0.21</v>
      </c>
      <c r="K155" s="5">
        <f>ROUND(I155*(1+J155),2)</f>
        <v/>
      </c>
      <c r="L155" t="inlineStr">
        <is>
          <t>Fijo</t>
        </is>
      </c>
      <c r="M155" t="inlineStr">
        <is>
          <t>Administración</t>
        </is>
      </c>
      <c r="N155" t="inlineStr">
        <is>
          <t>Sección noticias</t>
        </is>
      </c>
    </row>
    <row r="156">
      <c r="A156" t="inlineStr">
        <is>
          <t>GAS-0155</t>
        </is>
      </c>
      <c r="B156" s="2" t="n">
        <v>45386</v>
      </c>
      <c r="C156" t="inlineStr">
        <is>
          <t>Tecnología</t>
        </is>
      </c>
      <c r="D156" t="inlineStr">
        <is>
          <t>Software traducción</t>
        </is>
      </c>
      <c r="E156" t="inlineStr">
        <is>
          <t>TVSpot Studio</t>
        </is>
      </c>
      <c r="F156" t="inlineStr">
        <is>
          <t>Generación de noticias</t>
        </is>
      </c>
      <c r="G156" t="inlineStr">
        <is>
          <t>Suscripción mensual</t>
        </is>
      </c>
      <c r="H156" t="inlineStr">
        <is>
          <t>Software traducción para generación de noticias</t>
        </is>
      </c>
      <c r="I156" s="5" t="n">
        <v>310.7</v>
      </c>
      <c r="J156" s="3" t="n">
        <v>0.21</v>
      </c>
      <c r="K156" s="5">
        <f>ROUND(I156*(1+J156),2)</f>
        <v/>
      </c>
      <c r="L156" t="inlineStr">
        <is>
          <t>Variable</t>
        </is>
      </c>
      <c r="M156" t="inlineStr">
        <is>
          <t>Operaciones</t>
        </is>
      </c>
      <c r="N156" t="inlineStr">
        <is>
          <t>Intranet comercial</t>
        </is>
      </c>
    </row>
    <row r="157">
      <c r="A157" t="inlineStr">
        <is>
          <t>GAS-0156</t>
        </is>
      </c>
      <c r="B157" s="2" t="n">
        <v>45354</v>
      </c>
      <c r="C157" t="inlineStr">
        <is>
          <t>Marketing</t>
        </is>
      </c>
      <c r="D157" t="inlineStr">
        <is>
          <t>Ads Google</t>
        </is>
      </c>
      <c r="E157" t="inlineStr">
        <is>
          <t>Acme Hosting</t>
        </is>
      </c>
      <c r="F157" t="inlineStr">
        <is>
          <t>Traducciones</t>
        </is>
      </c>
      <c r="G157" t="inlineStr">
        <is>
          <t>Proyecto puntual</t>
        </is>
      </c>
      <c r="H157" t="inlineStr">
        <is>
          <t>Ads Google para traducciones</t>
        </is>
      </c>
      <c r="I157" s="5" t="n">
        <v>2405.27</v>
      </c>
      <c r="J157" s="3" t="n">
        <v>0.1</v>
      </c>
      <c r="K157" s="5">
        <f>ROUND(I157*(1+J157),2)</f>
        <v/>
      </c>
      <c r="L157" t="inlineStr">
        <is>
          <t>Fijo</t>
        </is>
      </c>
      <c r="M157" t="inlineStr">
        <is>
          <t>Comercial</t>
        </is>
      </c>
      <c r="N157" t="inlineStr">
        <is>
          <t>Intranet comercial</t>
        </is>
      </c>
    </row>
    <row r="158">
      <c r="A158" t="inlineStr">
        <is>
          <t>GAS-0157</t>
        </is>
      </c>
      <c r="B158" s="2" t="n">
        <v>45628</v>
      </c>
      <c r="C158" t="inlineStr">
        <is>
          <t>Tecnología</t>
        </is>
      </c>
      <c r="D158" t="inlineStr">
        <is>
          <t>Hosting</t>
        </is>
      </c>
      <c r="E158" t="inlineStr">
        <is>
          <t>Acme Hosting</t>
        </is>
      </c>
      <c r="F158" t="inlineStr">
        <is>
          <t>Traducciones</t>
        </is>
      </c>
      <c r="G158" t="inlineStr">
        <is>
          <t>Proyecto puntual</t>
        </is>
      </c>
      <c r="H158" t="inlineStr">
        <is>
          <t>Hosting para traducciones</t>
        </is>
      </c>
      <c r="I158" s="5" t="n">
        <v>1254.26</v>
      </c>
      <c r="J158" s="3" t="n">
        <v>0.21</v>
      </c>
      <c r="K158" s="5">
        <f>ROUND(I158*(1+J158),2)</f>
        <v/>
      </c>
      <c r="L158" t="inlineStr">
        <is>
          <t>Fijo</t>
        </is>
      </c>
      <c r="M158" t="inlineStr">
        <is>
          <t>Administración</t>
        </is>
      </c>
      <c r="N158" t="inlineStr">
        <is>
          <t>Centro de prensa</t>
        </is>
      </c>
    </row>
    <row r="159">
      <c r="A159" t="inlineStr">
        <is>
          <t>GAS-0158</t>
        </is>
      </c>
      <c r="B159" s="2" t="n">
        <v>45567</v>
      </c>
      <c r="C159" t="inlineStr">
        <is>
          <t>Marketing</t>
        </is>
      </c>
      <c r="D159" t="inlineStr">
        <is>
          <t>Producción TV</t>
        </is>
      </c>
      <c r="E159" t="inlineStr">
        <is>
          <t>NominaPlus</t>
        </is>
      </c>
      <c r="F159" t="inlineStr">
        <is>
          <t>Publicación de noticias</t>
        </is>
      </c>
      <c r="G159" t="inlineStr">
        <is>
          <t>Proyecto puntual</t>
        </is>
      </c>
      <c r="H159" t="inlineStr">
        <is>
          <t>Producción TV para publicación de noticias</t>
        </is>
      </c>
      <c r="I159" s="5" t="n">
        <v>6415.2</v>
      </c>
      <c r="J159" s="3" t="n">
        <v>0</v>
      </c>
      <c r="K159" s="5">
        <f>ROUND(I159*(1+J159),2)</f>
        <v/>
      </c>
      <c r="L159" t="inlineStr">
        <is>
          <t>Fijo</t>
        </is>
      </c>
      <c r="M159" t="inlineStr">
        <is>
          <t>Comercial</t>
        </is>
      </c>
      <c r="N159" t="inlineStr">
        <is>
          <t>Portal corporativo</t>
        </is>
      </c>
    </row>
    <row r="160">
      <c r="A160" t="inlineStr">
        <is>
          <t>GAS-0159</t>
        </is>
      </c>
      <c r="B160" s="2" t="n">
        <v>45610</v>
      </c>
      <c r="C160" t="inlineStr">
        <is>
          <t>Personal</t>
        </is>
      </c>
      <c r="D160" t="inlineStr">
        <is>
          <t>Seguridad Social</t>
        </is>
      </c>
      <c r="E160" t="inlineStr">
        <is>
          <t>TVSpot Studio</t>
        </is>
      </c>
      <c r="F160" t="inlineStr">
        <is>
          <t>Mantenimiento intranets</t>
        </is>
      </c>
      <c r="G160" t="inlineStr">
        <is>
          <t>Suscripción mensual</t>
        </is>
      </c>
      <c r="H160" t="inlineStr">
        <is>
          <t>Seguridad Social para mantenimiento intranets</t>
        </is>
      </c>
      <c r="I160" s="5" t="n">
        <v>8189.19</v>
      </c>
      <c r="J160" s="3" t="n">
        <v>0.1</v>
      </c>
      <c r="K160" s="5">
        <f>ROUND(I160*(1+J160),2)</f>
        <v/>
      </c>
      <c r="L160" t="inlineStr">
        <is>
          <t>Variable</t>
        </is>
      </c>
      <c r="M160" t="inlineStr">
        <is>
          <t>Tecnología</t>
        </is>
      </c>
      <c r="N160" t="inlineStr">
        <is>
          <t>Microsite RRHH</t>
        </is>
      </c>
    </row>
    <row r="161">
      <c r="A161" t="inlineStr">
        <is>
          <t>GAS-0160</t>
        </is>
      </c>
      <c r="B161" s="2" t="n">
        <v>45396</v>
      </c>
      <c r="C161" t="inlineStr">
        <is>
          <t>Marketing</t>
        </is>
      </c>
      <c r="D161" t="inlineStr">
        <is>
          <t>Ads Google</t>
        </is>
      </c>
      <c r="E161" t="inlineStr">
        <is>
          <t>LinguaTech</t>
        </is>
      </c>
      <c r="F161" t="inlineStr">
        <is>
          <t>Anuncios prensa</t>
        </is>
      </c>
      <c r="G161" t="inlineStr">
        <is>
          <t>Retainer trimestral</t>
        </is>
      </c>
      <c r="H161" t="inlineStr">
        <is>
          <t>Ads Google para anuncios prensa</t>
        </is>
      </c>
      <c r="I161" s="5" t="n">
        <v>8215.35</v>
      </c>
      <c r="J161" s="3" t="n">
        <v>0.21</v>
      </c>
      <c r="K161" s="5">
        <f>ROUND(I161*(1+J161),2)</f>
        <v/>
      </c>
      <c r="L161" t="inlineStr">
        <is>
          <t>Variable</t>
        </is>
      </c>
      <c r="M161" t="inlineStr">
        <is>
          <t>Administración</t>
        </is>
      </c>
      <c r="N161" t="inlineStr">
        <is>
          <t>Sección noticias</t>
        </is>
      </c>
    </row>
    <row r="162">
      <c r="A162" t="inlineStr">
        <is>
          <t>GAS-0161</t>
        </is>
      </c>
      <c r="B162" s="2" t="n">
        <v>45355</v>
      </c>
      <c r="C162" t="inlineStr">
        <is>
          <t>Tecnología</t>
        </is>
      </c>
      <c r="D162" t="inlineStr">
        <is>
          <t>Licencias CMS</t>
        </is>
      </c>
      <c r="E162" t="inlineStr">
        <is>
          <t>NominaPlus</t>
        </is>
      </c>
      <c r="F162" t="inlineStr">
        <is>
          <t>Anuncios RRHH</t>
        </is>
      </c>
      <c r="G162" t="inlineStr">
        <is>
          <t>Suscripción mensual</t>
        </is>
      </c>
      <c r="H162" t="inlineStr">
        <is>
          <t>Licencias CMS para anuncios rrhh</t>
        </is>
      </c>
      <c r="I162" s="5" t="n">
        <v>1086.01</v>
      </c>
      <c r="J162" s="3" t="n">
        <v>0.1</v>
      </c>
      <c r="K162" s="5">
        <f>ROUND(I162*(1+J162),2)</f>
        <v/>
      </c>
      <c r="L162" t="inlineStr">
        <is>
          <t>Variable</t>
        </is>
      </c>
      <c r="M162" t="inlineStr">
        <is>
          <t>Operaciones</t>
        </is>
      </c>
      <c r="N162" t="inlineStr">
        <is>
          <t>Portal internacional</t>
        </is>
      </c>
    </row>
    <row r="163">
      <c r="A163" t="inlineStr">
        <is>
          <t>GAS-0162</t>
        </is>
      </c>
      <c r="B163" s="2" t="n">
        <v>45405</v>
      </c>
      <c r="C163" t="inlineStr">
        <is>
          <t>Marketing</t>
        </is>
      </c>
      <c r="D163" t="inlineStr">
        <is>
          <t>Ads prensa local</t>
        </is>
      </c>
      <c r="E163" t="inlineStr">
        <is>
          <t>TVSpot Studio</t>
        </is>
      </c>
      <c r="F163" t="inlineStr">
        <is>
          <t>Anuncios RRHH</t>
        </is>
      </c>
      <c r="G163" t="inlineStr">
        <is>
          <t>Suscripción mensual</t>
        </is>
      </c>
      <c r="H163" t="inlineStr">
        <is>
          <t>Ads prensa local para anuncios rrhh</t>
        </is>
      </c>
      <c r="I163" s="5" t="n">
        <v>9637.74</v>
      </c>
      <c r="J163" s="3" t="n">
        <v>0</v>
      </c>
      <c r="K163" s="5">
        <f>ROUND(I163*(1+J163),2)</f>
        <v/>
      </c>
      <c r="L163" t="inlineStr">
        <is>
          <t>Fijo</t>
        </is>
      </c>
      <c r="M163" t="inlineStr">
        <is>
          <t>Administración</t>
        </is>
      </c>
      <c r="N163" t="inlineStr">
        <is>
          <t>Centro de prensa</t>
        </is>
      </c>
    </row>
    <row r="164">
      <c r="A164" t="inlineStr">
        <is>
          <t>GAS-0163</t>
        </is>
      </c>
      <c r="B164" s="2" t="n">
        <v>45316</v>
      </c>
      <c r="C164" t="inlineStr">
        <is>
          <t>Tecnología</t>
        </is>
      </c>
      <c r="D164" t="inlineStr">
        <is>
          <t>Software traducción</t>
        </is>
      </c>
      <c r="E164" t="inlineStr">
        <is>
          <t>MediaCloud</t>
        </is>
      </c>
      <c r="F164" t="inlineStr">
        <is>
          <t>Traducciones</t>
        </is>
      </c>
      <c r="G164" t="inlineStr">
        <is>
          <t>Retainer trimestral</t>
        </is>
      </c>
      <c r="H164" t="inlineStr">
        <is>
          <t>Software traducción para traducciones</t>
        </is>
      </c>
      <c r="I164" s="5" t="n">
        <v>1705.06</v>
      </c>
      <c r="J164" s="3" t="n">
        <v>0.21</v>
      </c>
      <c r="K164" s="5">
        <f>ROUND(I164*(1+J164),2)</f>
        <v/>
      </c>
      <c r="L164" t="inlineStr">
        <is>
          <t>Fijo</t>
        </is>
      </c>
      <c r="M164" t="inlineStr">
        <is>
          <t>Tecnología</t>
        </is>
      </c>
      <c r="N164" t="inlineStr">
        <is>
          <t>Microsite RRHH</t>
        </is>
      </c>
    </row>
    <row r="165">
      <c r="A165" t="inlineStr">
        <is>
          <t>GAS-0164</t>
        </is>
      </c>
      <c r="B165" s="2" t="n">
        <v>45668</v>
      </c>
      <c r="C165" t="inlineStr">
        <is>
          <t>Tecnología</t>
        </is>
      </c>
      <c r="D165" t="inlineStr">
        <is>
          <t>Licencias CMS</t>
        </is>
      </c>
      <c r="E165" t="inlineStr">
        <is>
          <t>IntraSys</t>
        </is>
      </c>
      <c r="F165" t="inlineStr">
        <is>
          <t>Generación de noticias</t>
        </is>
      </c>
      <c r="G165" t="inlineStr">
        <is>
          <t>Suscripción mensual</t>
        </is>
      </c>
      <c r="H165" t="inlineStr">
        <is>
          <t>Licencias CMS para generación de noticias</t>
        </is>
      </c>
      <c r="I165" s="5" t="n">
        <v>1271.47</v>
      </c>
      <c r="J165" s="3" t="n">
        <v>0.21</v>
      </c>
      <c r="K165" s="5">
        <f>ROUND(I165*(1+J165),2)</f>
        <v/>
      </c>
      <c r="L165" t="inlineStr">
        <is>
          <t>Fijo</t>
        </is>
      </c>
      <c r="M165" t="inlineStr">
        <is>
          <t>Administración</t>
        </is>
      </c>
      <c r="N165" t="inlineStr">
        <is>
          <t>Microsite RRHH</t>
        </is>
      </c>
    </row>
    <row r="166">
      <c r="A166" t="inlineStr">
        <is>
          <t>GAS-0165</t>
        </is>
      </c>
      <c r="B166" s="2" t="n">
        <v>45659</v>
      </c>
      <c r="C166" t="inlineStr">
        <is>
          <t>Marketing</t>
        </is>
      </c>
      <c r="D166" t="inlineStr">
        <is>
          <t>Ads Google</t>
        </is>
      </c>
      <c r="E166" t="inlineStr">
        <is>
          <t>NoticiasPro</t>
        </is>
      </c>
      <c r="F166" t="inlineStr">
        <is>
          <t>Anuncios internet</t>
        </is>
      </c>
      <c r="G166" t="inlineStr">
        <is>
          <t>Retainer trimestral</t>
        </is>
      </c>
      <c r="H166" t="inlineStr">
        <is>
          <t>Ads Google para anuncios internet</t>
        </is>
      </c>
      <c r="I166" s="5" t="n">
        <v>6176.08</v>
      </c>
      <c r="J166" s="3" t="n">
        <v>0</v>
      </c>
      <c r="K166" s="5">
        <f>ROUND(I166*(1+J166),2)</f>
        <v/>
      </c>
      <c r="L166" t="inlineStr">
        <is>
          <t>Variable</t>
        </is>
      </c>
      <c r="M166" t="inlineStr">
        <is>
          <t>Marketing</t>
        </is>
      </c>
      <c r="N166" t="inlineStr">
        <is>
          <t>Portal internacional</t>
        </is>
      </c>
    </row>
    <row r="167">
      <c r="A167" t="inlineStr">
        <is>
          <t>GAS-0166</t>
        </is>
      </c>
      <c r="B167" s="2" t="n">
        <v>45575</v>
      </c>
      <c r="C167" t="inlineStr">
        <is>
          <t>Operaciones</t>
        </is>
      </c>
      <c r="D167" t="inlineStr">
        <is>
          <t>Freelancers</t>
        </is>
      </c>
      <c r="E167" t="inlineStr">
        <is>
          <t>Legal Iberia</t>
        </is>
      </c>
      <c r="F167" t="inlineStr">
        <is>
          <t>Traducciones</t>
        </is>
      </c>
      <c r="G167" t="inlineStr">
        <is>
          <t>Suscripción mensual</t>
        </is>
      </c>
      <c r="H167" t="inlineStr">
        <is>
          <t>Freelancers para traducciones</t>
        </is>
      </c>
      <c r="I167" s="5" t="n">
        <v>485.86</v>
      </c>
      <c r="J167" s="3" t="n">
        <v>0.21</v>
      </c>
      <c r="K167" s="5">
        <f>ROUND(I167*(1+J167),2)</f>
        <v/>
      </c>
      <c r="L167" t="inlineStr">
        <is>
          <t>Fijo</t>
        </is>
      </c>
      <c r="M167" t="inlineStr">
        <is>
          <t>Marketing</t>
        </is>
      </c>
      <c r="N167" t="inlineStr">
        <is>
          <t>Intranet operaciones</t>
        </is>
      </c>
    </row>
    <row r="168">
      <c r="A168" t="inlineStr">
        <is>
          <t>GAS-0167</t>
        </is>
      </c>
      <c r="B168" s="2" t="n">
        <v>45651</v>
      </c>
      <c r="C168" t="inlineStr">
        <is>
          <t>Tecnología</t>
        </is>
      </c>
      <c r="D168" t="inlineStr">
        <is>
          <t>Monitorización</t>
        </is>
      </c>
      <c r="E168" t="inlineStr">
        <is>
          <t>NominaPlus</t>
        </is>
      </c>
      <c r="F168" t="inlineStr">
        <is>
          <t>Traducciones</t>
        </is>
      </c>
      <c r="G168" t="inlineStr">
        <is>
          <t>Retainer trimestral</t>
        </is>
      </c>
      <c r="H168" t="inlineStr">
        <is>
          <t>Monitorización para traducciones</t>
        </is>
      </c>
      <c r="I168" s="5" t="n">
        <v>1509.78</v>
      </c>
      <c r="J168" s="3" t="n">
        <v>0.21</v>
      </c>
      <c r="K168" s="5">
        <f>ROUND(I168*(1+J168),2)</f>
        <v/>
      </c>
      <c r="L168" t="inlineStr">
        <is>
          <t>Fijo</t>
        </is>
      </c>
      <c r="M168" t="inlineStr">
        <is>
          <t>Administración</t>
        </is>
      </c>
      <c r="N168" t="inlineStr">
        <is>
          <t>Intranet operaciones</t>
        </is>
      </c>
    </row>
    <row r="169">
      <c r="A169" t="inlineStr">
        <is>
          <t>GAS-0168</t>
        </is>
      </c>
      <c r="B169" s="2" t="n">
        <v>45545</v>
      </c>
      <c r="C169" t="inlineStr">
        <is>
          <t>Administración</t>
        </is>
      </c>
      <c r="D169" t="inlineStr">
        <is>
          <t>Seguros</t>
        </is>
      </c>
      <c r="E169" t="inlineStr">
        <is>
          <t>TVSpot Studio</t>
        </is>
      </c>
      <c r="F169" t="inlineStr">
        <is>
          <t>Mantenimiento intranets</t>
        </is>
      </c>
      <c r="G169" t="inlineStr">
        <is>
          <t>Proyecto puntual</t>
        </is>
      </c>
      <c r="H169" t="inlineStr">
        <is>
          <t>Seguros para mantenimiento intranets</t>
        </is>
      </c>
      <c r="I169" s="5" t="n">
        <v>273.08</v>
      </c>
      <c r="J169" s="3" t="n">
        <v>0.21</v>
      </c>
      <c r="K169" s="5">
        <f>ROUND(I169*(1+J169),2)</f>
        <v/>
      </c>
      <c r="L169" t="inlineStr">
        <is>
          <t>Fijo</t>
        </is>
      </c>
      <c r="M169" t="inlineStr">
        <is>
          <t>Tecnología</t>
        </is>
      </c>
      <c r="N169" t="inlineStr">
        <is>
          <t>Campaña empleo</t>
        </is>
      </c>
    </row>
    <row r="170">
      <c r="A170" t="inlineStr">
        <is>
          <t>GAS-0169</t>
        </is>
      </c>
      <c r="B170" s="2" t="n">
        <v>45403</v>
      </c>
      <c r="C170" t="inlineStr">
        <is>
          <t>Operaciones</t>
        </is>
      </c>
      <c r="D170" t="inlineStr">
        <is>
          <t>Freelancers</t>
        </is>
      </c>
      <c r="E170" t="inlineStr">
        <is>
          <t>IntraSys</t>
        </is>
      </c>
      <c r="F170" t="inlineStr">
        <is>
          <t>Generación de noticias</t>
        </is>
      </c>
      <c r="G170" t="inlineStr">
        <is>
          <t>Soporte anual</t>
        </is>
      </c>
      <c r="H170" t="inlineStr">
        <is>
          <t>Freelancers para generación de noticias</t>
        </is>
      </c>
      <c r="I170" s="5" t="n">
        <v>4467.45</v>
      </c>
      <c r="J170" s="3" t="n">
        <v>0</v>
      </c>
      <c r="K170" s="5">
        <f>ROUND(I170*(1+J170),2)</f>
        <v/>
      </c>
      <c r="L170" t="inlineStr">
        <is>
          <t>Variable</t>
        </is>
      </c>
      <c r="M170" t="inlineStr">
        <is>
          <t>Administración</t>
        </is>
      </c>
      <c r="N170" t="inlineStr">
        <is>
          <t>Intranet operaciones</t>
        </is>
      </c>
    </row>
    <row r="171">
      <c r="A171" t="inlineStr">
        <is>
          <t>GAS-0170</t>
        </is>
      </c>
      <c r="B171" s="2" t="n">
        <v>45473</v>
      </c>
      <c r="C171" t="inlineStr">
        <is>
          <t>Personal</t>
        </is>
      </c>
      <c r="D171" t="inlineStr">
        <is>
          <t>Salarios</t>
        </is>
      </c>
      <c r="E171" t="inlineStr">
        <is>
          <t>Acme Hosting</t>
        </is>
      </c>
      <c r="F171" t="inlineStr">
        <is>
          <t>Anuncios internet</t>
        </is>
      </c>
      <c r="G171" t="inlineStr">
        <is>
          <t>Suscripción mensual</t>
        </is>
      </c>
      <c r="H171" t="inlineStr">
        <is>
          <t>Salarios para anuncios internet</t>
        </is>
      </c>
      <c r="I171" s="5" t="n">
        <v>3598.43</v>
      </c>
      <c r="J171" s="3" t="n">
        <v>0.21</v>
      </c>
      <c r="K171" s="5">
        <f>ROUND(I171*(1+J171),2)</f>
        <v/>
      </c>
      <c r="L171" t="inlineStr">
        <is>
          <t>Variable</t>
        </is>
      </c>
      <c r="M171" t="inlineStr">
        <is>
          <t>Comercial</t>
        </is>
      </c>
      <c r="N171" t="inlineStr">
        <is>
          <t>Intranet comercial</t>
        </is>
      </c>
    </row>
    <row r="172">
      <c r="A172" t="inlineStr">
        <is>
          <t>GAS-0171</t>
        </is>
      </c>
      <c r="B172" s="2" t="n">
        <v>45494</v>
      </c>
      <c r="C172" t="inlineStr">
        <is>
          <t>Tecnología</t>
        </is>
      </c>
      <c r="D172" t="inlineStr">
        <is>
          <t>Licencias CMS</t>
        </is>
      </c>
      <c r="E172" t="inlineStr">
        <is>
          <t>AdVision</t>
        </is>
      </c>
      <c r="F172" t="inlineStr">
        <is>
          <t>Anuncios prensa</t>
        </is>
      </c>
      <c r="G172" t="inlineStr">
        <is>
          <t>Retainer trimestral</t>
        </is>
      </c>
      <c r="H172" t="inlineStr">
        <is>
          <t>Licencias CMS para anuncios prensa</t>
        </is>
      </c>
      <c r="I172" s="5" t="n">
        <v>1210.8</v>
      </c>
      <c r="J172" s="3" t="n">
        <v>0.21</v>
      </c>
      <c r="K172" s="5">
        <f>ROUND(I172*(1+J172),2)</f>
        <v/>
      </c>
      <c r="L172" t="inlineStr">
        <is>
          <t>Variable</t>
        </is>
      </c>
      <c r="M172" t="inlineStr">
        <is>
          <t>Comercial</t>
        </is>
      </c>
      <c r="N172" t="inlineStr">
        <is>
          <t>Centro de prensa</t>
        </is>
      </c>
    </row>
    <row r="173">
      <c r="A173" t="inlineStr">
        <is>
          <t>GAS-0172</t>
        </is>
      </c>
      <c r="B173" s="2" t="n">
        <v>45393</v>
      </c>
      <c r="C173" t="inlineStr">
        <is>
          <t>Personal</t>
        </is>
      </c>
      <c r="D173" t="inlineStr">
        <is>
          <t>Seguridad Social</t>
        </is>
      </c>
      <c r="E173" t="inlineStr">
        <is>
          <t>LinguaTech</t>
        </is>
      </c>
      <c r="F173" t="inlineStr">
        <is>
          <t>Anuncios internet</t>
        </is>
      </c>
      <c r="G173" t="inlineStr">
        <is>
          <t>Proyecto puntual</t>
        </is>
      </c>
      <c r="H173" t="inlineStr">
        <is>
          <t>Seguridad Social para anuncios internet</t>
        </is>
      </c>
      <c r="I173" s="5" t="n">
        <v>2381.39</v>
      </c>
      <c r="J173" s="3" t="n">
        <v>0.21</v>
      </c>
      <c r="K173" s="5">
        <f>ROUND(I173*(1+J173),2)</f>
        <v/>
      </c>
      <c r="L173" t="inlineStr">
        <is>
          <t>Fijo</t>
        </is>
      </c>
      <c r="M173" t="inlineStr">
        <is>
          <t>Comercial</t>
        </is>
      </c>
      <c r="N173" t="inlineStr">
        <is>
          <t>Microsite RRHH</t>
        </is>
      </c>
    </row>
    <row r="174">
      <c r="A174" t="inlineStr">
        <is>
          <t>GAS-0173</t>
        </is>
      </c>
      <c r="B174" s="2" t="n">
        <v>45507</v>
      </c>
      <c r="C174" t="inlineStr">
        <is>
          <t>Tecnología</t>
        </is>
      </c>
      <c r="D174" t="inlineStr">
        <is>
          <t>Herramientas SEO</t>
        </is>
      </c>
      <c r="E174" t="inlineStr">
        <is>
          <t>Legal Iberia</t>
        </is>
      </c>
      <c r="F174" t="inlineStr">
        <is>
          <t>Mantenimiento web</t>
        </is>
      </c>
      <c r="G174" t="inlineStr">
        <is>
          <t>Soporte anual</t>
        </is>
      </c>
      <c r="H174" t="inlineStr">
        <is>
          <t>Herramientas SEO para mantenimiento web</t>
        </is>
      </c>
      <c r="I174" s="5" t="n">
        <v>541.66</v>
      </c>
      <c r="J174" s="3" t="n">
        <v>0.21</v>
      </c>
      <c r="K174" s="5">
        <f>ROUND(I174*(1+J174),2)</f>
        <v/>
      </c>
      <c r="L174" t="inlineStr">
        <is>
          <t>Fijo</t>
        </is>
      </c>
      <c r="M174" t="inlineStr">
        <is>
          <t>Tecnología</t>
        </is>
      </c>
      <c r="N174" t="inlineStr">
        <is>
          <t>Microsite RRHH</t>
        </is>
      </c>
    </row>
    <row r="175">
      <c r="A175" t="inlineStr">
        <is>
          <t>GAS-0174</t>
        </is>
      </c>
      <c r="B175" s="2" t="n">
        <v>45684</v>
      </c>
      <c r="C175" t="inlineStr">
        <is>
          <t>Tecnología</t>
        </is>
      </c>
      <c r="D175" t="inlineStr">
        <is>
          <t>Software traducción</t>
        </is>
      </c>
      <c r="E175" t="inlineStr">
        <is>
          <t>SEO Metrics</t>
        </is>
      </c>
      <c r="F175" t="inlineStr">
        <is>
          <t>Publicación de noticias</t>
        </is>
      </c>
      <c r="G175" t="inlineStr">
        <is>
          <t>Proyecto puntual</t>
        </is>
      </c>
      <c r="H175" t="inlineStr">
        <is>
          <t>Software traducción para publicación de noticias</t>
        </is>
      </c>
      <c r="I175" s="5" t="n">
        <v>330.28</v>
      </c>
      <c r="J175" s="3" t="n">
        <v>0</v>
      </c>
      <c r="K175" s="5">
        <f>ROUND(I175*(1+J175),2)</f>
        <v/>
      </c>
      <c r="L175" t="inlineStr">
        <is>
          <t>Variable</t>
        </is>
      </c>
      <c r="M175" t="inlineStr">
        <is>
          <t>Marketing</t>
        </is>
      </c>
      <c r="N175" t="inlineStr">
        <is>
          <t>Portal corporativo</t>
        </is>
      </c>
    </row>
    <row r="176">
      <c r="A176" t="inlineStr">
        <is>
          <t>GAS-0175</t>
        </is>
      </c>
      <c r="B176" s="2" t="n">
        <v>45419</v>
      </c>
      <c r="C176" t="inlineStr">
        <is>
          <t>Tecnología</t>
        </is>
      </c>
      <c r="D176" t="inlineStr">
        <is>
          <t>Herramientas SEO</t>
        </is>
      </c>
      <c r="E176" t="inlineStr">
        <is>
          <t>IntraSys</t>
        </is>
      </c>
      <c r="F176" t="inlineStr">
        <is>
          <t>Generación de noticias</t>
        </is>
      </c>
      <c r="G176" t="inlineStr">
        <is>
          <t>Suscripción mensual</t>
        </is>
      </c>
      <c r="H176" t="inlineStr">
        <is>
          <t>Herramientas SEO para generación de noticias</t>
        </is>
      </c>
      <c r="I176" s="5" t="n">
        <v>1845.29</v>
      </c>
      <c r="J176" s="3" t="n">
        <v>0.21</v>
      </c>
      <c r="K176" s="5">
        <f>ROUND(I176*(1+J176),2)</f>
        <v/>
      </c>
      <c r="L176" t="inlineStr">
        <is>
          <t>Fijo</t>
        </is>
      </c>
      <c r="M176" t="inlineStr">
        <is>
          <t>Marketing</t>
        </is>
      </c>
      <c r="N176" t="inlineStr">
        <is>
          <t>Campaña empleo</t>
        </is>
      </c>
    </row>
    <row r="177">
      <c r="A177" t="inlineStr">
        <is>
          <t>GAS-0176</t>
        </is>
      </c>
      <c r="B177" s="2" t="n">
        <v>45353</v>
      </c>
      <c r="C177" t="inlineStr">
        <is>
          <t>Tecnología</t>
        </is>
      </c>
      <c r="D177" t="inlineStr">
        <is>
          <t>Hosting</t>
        </is>
      </c>
      <c r="E177" t="inlineStr">
        <is>
          <t>MediaCloud</t>
        </is>
      </c>
      <c r="F177" t="inlineStr">
        <is>
          <t>Anuncios TV</t>
        </is>
      </c>
      <c r="G177" t="inlineStr">
        <is>
          <t>Campaña</t>
        </is>
      </c>
      <c r="H177" t="inlineStr">
        <is>
          <t>Hosting para anuncios tv</t>
        </is>
      </c>
      <c r="I177" s="5" t="n">
        <v>517.71</v>
      </c>
      <c r="J177" s="3" t="n">
        <v>0</v>
      </c>
      <c r="K177" s="5">
        <f>ROUND(I177*(1+J177),2)</f>
        <v/>
      </c>
      <c r="L177" t="inlineStr">
        <is>
          <t>Variable</t>
        </is>
      </c>
      <c r="M177" t="inlineStr">
        <is>
          <t>Comercial</t>
        </is>
      </c>
      <c r="N177" t="inlineStr">
        <is>
          <t>Sección noticias</t>
        </is>
      </c>
    </row>
    <row r="178">
      <c r="A178" t="inlineStr">
        <is>
          <t>GAS-0177</t>
        </is>
      </c>
      <c r="B178" s="2" t="n">
        <v>45410</v>
      </c>
      <c r="C178" t="inlineStr">
        <is>
          <t>Tecnología</t>
        </is>
      </c>
      <c r="D178" t="inlineStr">
        <is>
          <t>Monitorización</t>
        </is>
      </c>
      <c r="E178" t="inlineStr">
        <is>
          <t>NoticiasPro</t>
        </is>
      </c>
      <c r="F178" t="inlineStr">
        <is>
          <t>Mantenimiento intranets</t>
        </is>
      </c>
      <c r="G178" t="inlineStr">
        <is>
          <t>Retainer trimestral</t>
        </is>
      </c>
      <c r="H178" t="inlineStr">
        <is>
          <t>Monitorización para mantenimiento intranets</t>
        </is>
      </c>
      <c r="I178" s="5" t="n">
        <v>198.22</v>
      </c>
      <c r="J178" s="3" t="n">
        <v>0.21</v>
      </c>
      <c r="K178" s="5">
        <f>ROUND(I178*(1+J178),2)</f>
        <v/>
      </c>
      <c r="L178" t="inlineStr">
        <is>
          <t>Variable</t>
        </is>
      </c>
      <c r="M178" t="inlineStr">
        <is>
          <t>Operaciones</t>
        </is>
      </c>
      <c r="N178" t="inlineStr">
        <is>
          <t>Microsite RRHH</t>
        </is>
      </c>
    </row>
    <row r="179">
      <c r="A179" t="inlineStr">
        <is>
          <t>GAS-0178</t>
        </is>
      </c>
      <c r="B179" s="2" t="n">
        <v>45316</v>
      </c>
      <c r="C179" t="inlineStr">
        <is>
          <t>Marketing</t>
        </is>
      </c>
      <c r="D179" t="inlineStr">
        <is>
          <t>Ads prensa local</t>
        </is>
      </c>
      <c r="E179" t="inlineStr">
        <is>
          <t>MediaCloud</t>
        </is>
      </c>
      <c r="F179" t="inlineStr">
        <is>
          <t>Traducciones</t>
        </is>
      </c>
      <c r="G179" t="inlineStr">
        <is>
          <t>Suscripción mensual</t>
        </is>
      </c>
      <c r="H179" t="inlineStr">
        <is>
          <t>Ads prensa local para traducciones</t>
        </is>
      </c>
      <c r="I179" s="5" t="n">
        <v>4406.99</v>
      </c>
      <c r="J179" s="3" t="n">
        <v>0</v>
      </c>
      <c r="K179" s="5">
        <f>ROUND(I179*(1+J179),2)</f>
        <v/>
      </c>
      <c r="L179" t="inlineStr">
        <is>
          <t>Fijo</t>
        </is>
      </c>
      <c r="M179" t="inlineStr">
        <is>
          <t>Tecnología</t>
        </is>
      </c>
      <c r="N179" t="inlineStr">
        <is>
          <t>Campaña empleo</t>
        </is>
      </c>
    </row>
    <row r="180">
      <c r="A180" t="inlineStr">
        <is>
          <t>GAS-0179</t>
        </is>
      </c>
      <c r="B180" s="2" t="n">
        <v>45634</v>
      </c>
      <c r="C180" t="inlineStr">
        <is>
          <t>Personal</t>
        </is>
      </c>
      <c r="D180" t="inlineStr">
        <is>
          <t>Seguridad Social</t>
        </is>
      </c>
      <c r="E180" t="inlineStr">
        <is>
          <t>Acme Hosting</t>
        </is>
      </c>
      <c r="F180" t="inlineStr">
        <is>
          <t>Traducciones</t>
        </is>
      </c>
      <c r="G180" t="inlineStr">
        <is>
          <t>Soporte anual</t>
        </is>
      </c>
      <c r="H180" t="inlineStr">
        <is>
          <t>Seguridad Social para traducciones</t>
        </is>
      </c>
      <c r="I180" s="5" t="n">
        <v>4345.62</v>
      </c>
      <c r="J180" s="3" t="n">
        <v>0.21</v>
      </c>
      <c r="K180" s="5">
        <f>ROUND(I180*(1+J180),2)</f>
        <v/>
      </c>
      <c r="L180" t="inlineStr">
        <is>
          <t>Variable</t>
        </is>
      </c>
      <c r="M180" t="inlineStr">
        <is>
          <t>Tecnología</t>
        </is>
      </c>
      <c r="N180" t="inlineStr">
        <is>
          <t>Portal internacional</t>
        </is>
      </c>
    </row>
    <row r="181">
      <c r="A181" t="inlineStr">
        <is>
          <t>GAS-0180</t>
        </is>
      </c>
      <c r="B181" s="2" t="n">
        <v>45346</v>
      </c>
      <c r="C181" t="inlineStr">
        <is>
          <t>Marketing</t>
        </is>
      </c>
      <c r="D181" t="inlineStr">
        <is>
          <t>Diseño creativo</t>
        </is>
      </c>
      <c r="E181" t="inlineStr">
        <is>
          <t>MediaCloud</t>
        </is>
      </c>
      <c r="F181" t="inlineStr">
        <is>
          <t>Anuncios TV</t>
        </is>
      </c>
      <c r="G181" t="inlineStr">
        <is>
          <t>Soporte anual</t>
        </is>
      </c>
      <c r="H181" t="inlineStr">
        <is>
          <t>Diseño creativo para anuncios tv</t>
        </is>
      </c>
      <c r="I181" s="5" t="n">
        <v>3528.58</v>
      </c>
      <c r="J181" s="3" t="n">
        <v>0</v>
      </c>
      <c r="K181" s="5">
        <f>ROUND(I181*(1+J181),2)</f>
        <v/>
      </c>
      <c r="L181" t="inlineStr">
        <is>
          <t>Fijo</t>
        </is>
      </c>
      <c r="M181" t="inlineStr">
        <is>
          <t>Administración</t>
        </is>
      </c>
      <c r="N181" t="inlineStr">
        <is>
          <t>Campaña empleo</t>
        </is>
      </c>
    </row>
    <row r="182">
      <c r="A182" t="inlineStr">
        <is>
          <t>GAS-0181</t>
        </is>
      </c>
      <c r="B182" s="2" t="n">
        <v>45395</v>
      </c>
      <c r="C182" t="inlineStr">
        <is>
          <t>Personal</t>
        </is>
      </c>
      <c r="D182" t="inlineStr">
        <is>
          <t>Seguridad Social</t>
        </is>
      </c>
      <c r="E182" t="inlineStr">
        <is>
          <t>NominaPlus</t>
        </is>
      </c>
      <c r="F182" t="inlineStr">
        <is>
          <t>Traducciones</t>
        </is>
      </c>
      <c r="G182" t="inlineStr">
        <is>
          <t>Proyecto puntual</t>
        </is>
      </c>
      <c r="H182" t="inlineStr">
        <is>
          <t>Seguridad Social para traducciones</t>
        </is>
      </c>
      <c r="I182" s="5" t="n">
        <v>1746.62</v>
      </c>
      <c r="J182" s="3" t="n">
        <v>0</v>
      </c>
      <c r="K182" s="5">
        <f>ROUND(I182*(1+J182),2)</f>
        <v/>
      </c>
      <c r="L182" t="inlineStr">
        <is>
          <t>Fijo</t>
        </is>
      </c>
      <c r="M182" t="inlineStr">
        <is>
          <t>Comercial</t>
        </is>
      </c>
      <c r="N182" t="inlineStr">
        <is>
          <t>Microsite RRHH</t>
        </is>
      </c>
    </row>
    <row r="183">
      <c r="A183" t="inlineStr">
        <is>
          <t>GAS-0182</t>
        </is>
      </c>
      <c r="B183" s="2" t="n">
        <v>45326</v>
      </c>
      <c r="C183" t="inlineStr">
        <is>
          <t>Tecnología</t>
        </is>
      </c>
      <c r="D183" t="inlineStr">
        <is>
          <t>Herramientas SEO</t>
        </is>
      </c>
      <c r="E183" t="inlineStr">
        <is>
          <t>Legal Iberia</t>
        </is>
      </c>
      <c r="F183" t="inlineStr">
        <is>
          <t>Anuncios TV</t>
        </is>
      </c>
      <c r="G183" t="inlineStr">
        <is>
          <t>Campaña</t>
        </is>
      </c>
      <c r="H183" t="inlineStr">
        <is>
          <t>Herramientas SEO para anuncios tv</t>
        </is>
      </c>
      <c r="I183" s="5" t="n">
        <v>2156.2</v>
      </c>
      <c r="J183" s="3" t="n">
        <v>0.1</v>
      </c>
      <c r="K183" s="5">
        <f>ROUND(I183*(1+J183),2)</f>
        <v/>
      </c>
      <c r="L183" t="inlineStr">
        <is>
          <t>Fijo</t>
        </is>
      </c>
      <c r="M183" t="inlineStr">
        <is>
          <t>Comercial</t>
        </is>
      </c>
      <c r="N183" t="inlineStr">
        <is>
          <t>Centro de prensa</t>
        </is>
      </c>
    </row>
    <row r="184">
      <c r="A184" t="inlineStr">
        <is>
          <t>GAS-0183</t>
        </is>
      </c>
      <c r="B184" s="2" t="n">
        <v>45495</v>
      </c>
      <c r="C184" t="inlineStr">
        <is>
          <t>Marketing</t>
        </is>
      </c>
      <c r="D184" t="inlineStr">
        <is>
          <t>Ads Google</t>
        </is>
      </c>
      <c r="E184" t="inlineStr">
        <is>
          <t>Legal Iberia</t>
        </is>
      </c>
      <c r="F184" t="inlineStr">
        <is>
          <t>Generación de noticias</t>
        </is>
      </c>
      <c r="G184" t="inlineStr">
        <is>
          <t>Soporte anual</t>
        </is>
      </c>
      <c r="H184" t="inlineStr">
        <is>
          <t>Ads Google para generación de noticias</t>
        </is>
      </c>
      <c r="I184" s="5" t="n">
        <v>9594.370000000001</v>
      </c>
      <c r="J184" s="3" t="n">
        <v>0.1</v>
      </c>
      <c r="K184" s="5">
        <f>ROUND(I184*(1+J184),2)</f>
        <v/>
      </c>
      <c r="L184" t="inlineStr">
        <is>
          <t>Fijo</t>
        </is>
      </c>
      <c r="M184" t="inlineStr">
        <is>
          <t>Comercial</t>
        </is>
      </c>
      <c r="N184" t="inlineStr">
        <is>
          <t>Intranet operaciones</t>
        </is>
      </c>
    </row>
    <row r="185">
      <c r="A185" t="inlineStr">
        <is>
          <t>GAS-0184</t>
        </is>
      </c>
      <c r="B185" s="2" t="n">
        <v>45403</v>
      </c>
      <c r="C185" t="inlineStr">
        <is>
          <t>Marketing</t>
        </is>
      </c>
      <c r="D185" t="inlineStr">
        <is>
          <t>Producción TV</t>
        </is>
      </c>
      <c r="E185" t="inlineStr">
        <is>
          <t>CloudPulse</t>
        </is>
      </c>
      <c r="F185" t="inlineStr">
        <is>
          <t>Anuncios TV</t>
        </is>
      </c>
      <c r="G185" t="inlineStr">
        <is>
          <t>Suscripción mensual</t>
        </is>
      </c>
      <c r="H185" t="inlineStr">
        <is>
          <t>Producción TV para anuncios tv</t>
        </is>
      </c>
      <c r="I185" s="5" t="n">
        <v>3476.48</v>
      </c>
      <c r="J185" s="3" t="n">
        <v>0.1</v>
      </c>
      <c r="K185" s="5">
        <f>ROUND(I185*(1+J185),2)</f>
        <v/>
      </c>
      <c r="L185" t="inlineStr">
        <is>
          <t>Variable</t>
        </is>
      </c>
      <c r="M185" t="inlineStr">
        <is>
          <t>Administración</t>
        </is>
      </c>
      <c r="N185" t="inlineStr">
        <is>
          <t>Centro de prensa</t>
        </is>
      </c>
    </row>
    <row r="186">
      <c r="A186" t="inlineStr">
        <is>
          <t>GAS-0185</t>
        </is>
      </c>
      <c r="B186" s="2" t="n">
        <v>45312</v>
      </c>
      <c r="C186" t="inlineStr">
        <is>
          <t>Personal</t>
        </is>
      </c>
      <c r="D186" t="inlineStr">
        <is>
          <t>Salarios</t>
        </is>
      </c>
      <c r="E186" t="inlineStr">
        <is>
          <t>SEO Metrics</t>
        </is>
      </c>
      <c r="F186" t="inlineStr">
        <is>
          <t>Generación de noticias</t>
        </is>
      </c>
      <c r="G186" t="inlineStr">
        <is>
          <t>Proyecto puntual</t>
        </is>
      </c>
      <c r="H186" t="inlineStr">
        <is>
          <t>Salarios para generación de noticias</t>
        </is>
      </c>
      <c r="I186" s="5" t="n">
        <v>6370.26</v>
      </c>
      <c r="J186" s="3" t="n">
        <v>0.21</v>
      </c>
      <c r="K186" s="5">
        <f>ROUND(I186*(1+J186),2)</f>
        <v/>
      </c>
      <c r="L186" t="inlineStr">
        <is>
          <t>Fijo</t>
        </is>
      </c>
      <c r="M186" t="inlineStr">
        <is>
          <t>Tecnología</t>
        </is>
      </c>
      <c r="N186" t="inlineStr">
        <is>
          <t>Portal corporativo</t>
        </is>
      </c>
    </row>
    <row r="187">
      <c r="A187" t="inlineStr">
        <is>
          <t>GAS-0186</t>
        </is>
      </c>
      <c r="B187" s="2" t="n">
        <v>45334</v>
      </c>
      <c r="C187" t="inlineStr">
        <is>
          <t>Marketing</t>
        </is>
      </c>
      <c r="D187" t="inlineStr">
        <is>
          <t>Ads Google</t>
        </is>
      </c>
      <c r="E187" t="inlineStr">
        <is>
          <t>Redacción Global</t>
        </is>
      </c>
      <c r="F187" t="inlineStr">
        <is>
          <t>Mantenimiento intranets</t>
        </is>
      </c>
      <c r="G187" t="inlineStr">
        <is>
          <t>Soporte anual</t>
        </is>
      </c>
      <c r="H187" t="inlineStr">
        <is>
          <t>Ads Google para mantenimiento intranets</t>
        </is>
      </c>
      <c r="I187" s="5" t="n">
        <v>4365.3</v>
      </c>
      <c r="J187" s="3" t="n">
        <v>0.21</v>
      </c>
      <c r="K187" s="5">
        <f>ROUND(I187*(1+J187),2)</f>
        <v/>
      </c>
      <c r="L187" t="inlineStr">
        <is>
          <t>Fijo</t>
        </is>
      </c>
      <c r="M187" t="inlineStr">
        <is>
          <t>Marketing</t>
        </is>
      </c>
      <c r="N187" t="inlineStr">
        <is>
          <t>Centro de prensa</t>
        </is>
      </c>
    </row>
    <row r="188">
      <c r="A188" t="inlineStr">
        <is>
          <t>GAS-0187</t>
        </is>
      </c>
      <c r="B188" s="2" t="n">
        <v>45567</v>
      </c>
      <c r="C188" t="inlineStr">
        <is>
          <t>Personal</t>
        </is>
      </c>
      <c r="D188" t="inlineStr">
        <is>
          <t>Salarios</t>
        </is>
      </c>
      <c r="E188" t="inlineStr">
        <is>
          <t>SEO Metrics</t>
        </is>
      </c>
      <c r="F188" t="inlineStr">
        <is>
          <t>Mantenimiento web</t>
        </is>
      </c>
      <c r="G188" t="inlineStr">
        <is>
          <t>Soporte anual</t>
        </is>
      </c>
      <c r="H188" t="inlineStr">
        <is>
          <t>Salarios para mantenimiento web</t>
        </is>
      </c>
      <c r="I188" s="5" t="n">
        <v>7214.7</v>
      </c>
      <c r="J188" s="3" t="n">
        <v>0</v>
      </c>
      <c r="K188" s="5">
        <f>ROUND(I188*(1+J188),2)</f>
        <v/>
      </c>
      <c r="L188" t="inlineStr">
        <is>
          <t>Variable</t>
        </is>
      </c>
      <c r="M188" t="inlineStr">
        <is>
          <t>Tecnología</t>
        </is>
      </c>
      <c r="N188" t="inlineStr">
        <is>
          <t>Campaña empleo</t>
        </is>
      </c>
    </row>
    <row r="189">
      <c r="A189" t="inlineStr">
        <is>
          <t>GAS-0188</t>
        </is>
      </c>
      <c r="B189" s="2" t="n">
        <v>45410</v>
      </c>
      <c r="C189" t="inlineStr">
        <is>
          <t>Operaciones</t>
        </is>
      </c>
      <c r="D189" t="inlineStr">
        <is>
          <t>Revisión editorial</t>
        </is>
      </c>
      <c r="E189" t="inlineStr">
        <is>
          <t>Redacción Global</t>
        </is>
      </c>
      <c r="F189" t="inlineStr">
        <is>
          <t>Anuncios RRHH</t>
        </is>
      </c>
      <c r="G189" t="inlineStr">
        <is>
          <t>Campaña</t>
        </is>
      </c>
      <c r="H189" t="inlineStr">
        <is>
          <t>Revisión editorial para anuncios rrhh</t>
        </is>
      </c>
      <c r="I189" s="5" t="n">
        <v>4554.45</v>
      </c>
      <c r="J189" s="3" t="n">
        <v>0.21</v>
      </c>
      <c r="K189" s="5">
        <f>ROUND(I189*(1+J189),2)</f>
        <v/>
      </c>
      <c r="L189" t="inlineStr">
        <is>
          <t>Fijo</t>
        </is>
      </c>
      <c r="M189" t="inlineStr">
        <is>
          <t>Marketing</t>
        </is>
      </c>
      <c r="N189" t="inlineStr">
        <is>
          <t>Intranet comercial</t>
        </is>
      </c>
    </row>
    <row r="190">
      <c r="A190" t="inlineStr">
        <is>
          <t>GAS-0189</t>
        </is>
      </c>
      <c r="B190" s="2" t="n">
        <v>45436</v>
      </c>
      <c r="C190" t="inlineStr">
        <is>
          <t>Tecnología</t>
        </is>
      </c>
      <c r="D190" t="inlineStr">
        <is>
          <t>Software traducción</t>
        </is>
      </c>
      <c r="E190" t="inlineStr">
        <is>
          <t>Acme Hosting</t>
        </is>
      </c>
      <c r="F190" t="inlineStr">
        <is>
          <t>Publicación de noticias</t>
        </is>
      </c>
      <c r="G190" t="inlineStr">
        <is>
          <t>Retainer trimestral</t>
        </is>
      </c>
      <c r="H190" t="inlineStr">
        <is>
          <t>Software traducción para publicación de noticias</t>
        </is>
      </c>
      <c r="I190" s="5" t="n">
        <v>488.58</v>
      </c>
      <c r="J190" s="3" t="n">
        <v>0.21</v>
      </c>
      <c r="K190" s="5">
        <f>ROUND(I190*(1+J190),2)</f>
        <v/>
      </c>
      <c r="L190" t="inlineStr">
        <is>
          <t>Fijo</t>
        </is>
      </c>
      <c r="M190" t="inlineStr">
        <is>
          <t>Marketing</t>
        </is>
      </c>
      <c r="N190" t="inlineStr">
        <is>
          <t>Campaña empleo</t>
        </is>
      </c>
    </row>
    <row r="191">
      <c r="A191" t="inlineStr">
        <is>
          <t>GAS-0190</t>
        </is>
      </c>
      <c r="B191" s="2" t="n">
        <v>45664</v>
      </c>
      <c r="C191" t="inlineStr">
        <is>
          <t>Personal</t>
        </is>
      </c>
      <c r="D191" t="inlineStr">
        <is>
          <t>Salarios</t>
        </is>
      </c>
      <c r="E191" t="inlineStr">
        <is>
          <t>Acme Hosting</t>
        </is>
      </c>
      <c r="F191" t="inlineStr">
        <is>
          <t>Anuncios prensa</t>
        </is>
      </c>
      <c r="G191" t="inlineStr">
        <is>
          <t>Soporte anual</t>
        </is>
      </c>
      <c r="H191" t="inlineStr">
        <is>
          <t>Salarios para anuncios prensa</t>
        </is>
      </c>
      <c r="I191" s="5" t="n">
        <v>2990.35</v>
      </c>
      <c r="J191" s="3" t="n">
        <v>0</v>
      </c>
      <c r="K191" s="5">
        <f>ROUND(I191*(1+J191),2)</f>
        <v/>
      </c>
      <c r="L191" t="inlineStr">
        <is>
          <t>Variable</t>
        </is>
      </c>
      <c r="M191" t="inlineStr">
        <is>
          <t>Marketing</t>
        </is>
      </c>
      <c r="N191" t="inlineStr">
        <is>
          <t>Portal corporativo</t>
        </is>
      </c>
    </row>
    <row r="192">
      <c r="A192" t="inlineStr">
        <is>
          <t>GAS-0191</t>
        </is>
      </c>
      <c r="B192" s="2" t="n">
        <v>45697</v>
      </c>
      <c r="C192" t="inlineStr">
        <is>
          <t>Personal</t>
        </is>
      </c>
      <c r="D192" t="inlineStr">
        <is>
          <t>Salarios</t>
        </is>
      </c>
      <c r="E192" t="inlineStr">
        <is>
          <t>Acme Hosting</t>
        </is>
      </c>
      <c r="F192" t="inlineStr">
        <is>
          <t>Mantenimiento web</t>
        </is>
      </c>
      <c r="G192" t="inlineStr">
        <is>
          <t>Suscripción mensual</t>
        </is>
      </c>
      <c r="H192" t="inlineStr">
        <is>
          <t>Salarios para mantenimiento web</t>
        </is>
      </c>
      <c r="I192" s="5" t="n">
        <v>2164.91</v>
      </c>
      <c r="J192" s="3" t="n">
        <v>0.1</v>
      </c>
      <c r="K192" s="5">
        <f>ROUND(I192*(1+J192),2)</f>
        <v/>
      </c>
      <c r="L192" t="inlineStr">
        <is>
          <t>Variable</t>
        </is>
      </c>
      <c r="M192" t="inlineStr">
        <is>
          <t>Operaciones</t>
        </is>
      </c>
      <c r="N192" t="inlineStr">
        <is>
          <t>Campaña empleo</t>
        </is>
      </c>
    </row>
    <row r="193">
      <c r="A193" t="inlineStr">
        <is>
          <t>GAS-0192</t>
        </is>
      </c>
      <c r="B193" s="2" t="n">
        <v>45428</v>
      </c>
      <c r="C193" t="inlineStr">
        <is>
          <t>Personal</t>
        </is>
      </c>
      <c r="D193" t="inlineStr">
        <is>
          <t>Formación</t>
        </is>
      </c>
      <c r="E193" t="inlineStr">
        <is>
          <t>SEO Metrics</t>
        </is>
      </c>
      <c r="F193" t="inlineStr">
        <is>
          <t>Anuncios internet</t>
        </is>
      </c>
      <c r="G193" t="inlineStr">
        <is>
          <t>Soporte anual</t>
        </is>
      </c>
      <c r="H193" t="inlineStr">
        <is>
          <t>Formación para anuncios internet</t>
        </is>
      </c>
      <c r="I193" s="5" t="n">
        <v>7152.89</v>
      </c>
      <c r="J193" s="3" t="n">
        <v>0</v>
      </c>
      <c r="K193" s="5">
        <f>ROUND(I193*(1+J193),2)</f>
        <v/>
      </c>
      <c r="L193" t="inlineStr">
        <is>
          <t>Fijo</t>
        </is>
      </c>
      <c r="M193" t="inlineStr">
        <is>
          <t>Operaciones</t>
        </is>
      </c>
      <c r="N193" t="inlineStr">
        <is>
          <t>Intranet comercial</t>
        </is>
      </c>
    </row>
    <row r="194">
      <c r="A194" t="inlineStr">
        <is>
          <t>GAS-0193</t>
        </is>
      </c>
      <c r="B194" s="2" t="n">
        <v>45489</v>
      </c>
      <c r="C194" t="inlineStr">
        <is>
          <t>Tecnología</t>
        </is>
      </c>
      <c r="D194" t="inlineStr">
        <is>
          <t>Hosting</t>
        </is>
      </c>
      <c r="E194" t="inlineStr">
        <is>
          <t>MediaCloud</t>
        </is>
      </c>
      <c r="F194" t="inlineStr">
        <is>
          <t>Anuncios TV</t>
        </is>
      </c>
      <c r="G194" t="inlineStr">
        <is>
          <t>Retainer trimestral</t>
        </is>
      </c>
      <c r="H194" t="inlineStr">
        <is>
          <t>Hosting para anuncios tv</t>
        </is>
      </c>
      <c r="I194" s="5" t="n">
        <v>1043.46</v>
      </c>
      <c r="J194" s="3" t="n">
        <v>0.21</v>
      </c>
      <c r="K194" s="5">
        <f>ROUND(I194*(1+J194),2)</f>
        <v/>
      </c>
      <c r="L194" t="inlineStr">
        <is>
          <t>Fijo</t>
        </is>
      </c>
      <c r="M194" t="inlineStr">
        <is>
          <t>Marketing</t>
        </is>
      </c>
      <c r="N194" t="inlineStr">
        <is>
          <t>Intranet comercial</t>
        </is>
      </c>
    </row>
    <row r="195">
      <c r="A195" t="inlineStr">
        <is>
          <t>GAS-0194</t>
        </is>
      </c>
      <c r="B195" s="2" t="n">
        <v>45335</v>
      </c>
      <c r="C195" t="inlineStr">
        <is>
          <t>Tecnología</t>
        </is>
      </c>
      <c r="D195" t="inlineStr">
        <is>
          <t>Hosting</t>
        </is>
      </c>
      <c r="E195" t="inlineStr">
        <is>
          <t>Acme Hosting</t>
        </is>
      </c>
      <c r="F195" t="inlineStr">
        <is>
          <t>Mantenimiento intranets</t>
        </is>
      </c>
      <c r="G195" t="inlineStr">
        <is>
          <t>Soporte anual</t>
        </is>
      </c>
      <c r="H195" t="inlineStr">
        <is>
          <t>Hosting para mantenimiento intranets</t>
        </is>
      </c>
      <c r="I195" s="5" t="n">
        <v>2297.57</v>
      </c>
      <c r="J195" s="3" t="n">
        <v>0.21</v>
      </c>
      <c r="K195" s="5">
        <f>ROUND(I195*(1+J195),2)</f>
        <v/>
      </c>
      <c r="L195" t="inlineStr">
        <is>
          <t>Fijo</t>
        </is>
      </c>
      <c r="M195" t="inlineStr">
        <is>
          <t>Marketing</t>
        </is>
      </c>
      <c r="N195" t="inlineStr">
        <is>
          <t>Portal internacional</t>
        </is>
      </c>
    </row>
    <row r="196">
      <c r="A196" t="inlineStr">
        <is>
          <t>GAS-0195</t>
        </is>
      </c>
      <c r="B196" s="2" t="n">
        <v>45430</v>
      </c>
      <c r="C196" t="inlineStr">
        <is>
          <t>Tecnología</t>
        </is>
      </c>
      <c r="D196" t="inlineStr">
        <is>
          <t>Software traducción</t>
        </is>
      </c>
      <c r="E196" t="inlineStr">
        <is>
          <t>Legal Iberia</t>
        </is>
      </c>
      <c r="F196" t="inlineStr">
        <is>
          <t>Publicación de noticias</t>
        </is>
      </c>
      <c r="G196" t="inlineStr">
        <is>
          <t>Retainer trimestral</t>
        </is>
      </c>
      <c r="H196" t="inlineStr">
        <is>
          <t>Software traducción para publicación de noticias</t>
        </is>
      </c>
      <c r="I196" s="5" t="n">
        <v>1674.21</v>
      </c>
      <c r="J196" s="3" t="n">
        <v>0.21</v>
      </c>
      <c r="K196" s="5">
        <f>ROUND(I196*(1+J196),2)</f>
        <v/>
      </c>
      <c r="L196" t="inlineStr">
        <is>
          <t>Fijo</t>
        </is>
      </c>
      <c r="M196" t="inlineStr">
        <is>
          <t>Operaciones</t>
        </is>
      </c>
      <c r="N196" t="inlineStr">
        <is>
          <t>Sección noticias</t>
        </is>
      </c>
    </row>
    <row r="197">
      <c r="A197" t="inlineStr">
        <is>
          <t>GAS-0196</t>
        </is>
      </c>
      <c r="B197" s="2" t="n">
        <v>45349</v>
      </c>
      <c r="C197" t="inlineStr">
        <is>
          <t>Marketing</t>
        </is>
      </c>
      <c r="D197" t="inlineStr">
        <is>
          <t>Ads Google</t>
        </is>
      </c>
      <c r="E197" t="inlineStr">
        <is>
          <t>CloudPulse</t>
        </is>
      </c>
      <c r="F197" t="inlineStr">
        <is>
          <t>Anuncios RRHH</t>
        </is>
      </c>
      <c r="G197" t="inlineStr">
        <is>
          <t>Campaña</t>
        </is>
      </c>
      <c r="H197" t="inlineStr">
        <is>
          <t>Ads Google para anuncios rrhh</t>
        </is>
      </c>
      <c r="I197" s="5" t="n">
        <v>9623.15</v>
      </c>
      <c r="J197" s="3" t="n">
        <v>0.21</v>
      </c>
      <c r="K197" s="5">
        <f>ROUND(I197*(1+J197),2)</f>
        <v/>
      </c>
      <c r="L197" t="inlineStr">
        <is>
          <t>Fijo</t>
        </is>
      </c>
      <c r="M197" t="inlineStr">
        <is>
          <t>Operaciones</t>
        </is>
      </c>
      <c r="N197" t="inlineStr">
        <is>
          <t>Portal internacional</t>
        </is>
      </c>
    </row>
    <row r="198">
      <c r="A198" t="inlineStr">
        <is>
          <t>GAS-0197</t>
        </is>
      </c>
      <c r="B198" s="2" t="n">
        <v>45617</v>
      </c>
      <c r="C198" t="inlineStr">
        <is>
          <t>Administración</t>
        </is>
      </c>
      <c r="D198" t="inlineStr">
        <is>
          <t>Telefonía</t>
        </is>
      </c>
      <c r="E198" t="inlineStr">
        <is>
          <t>AdVision</t>
        </is>
      </c>
      <c r="F198" t="inlineStr">
        <is>
          <t>Anuncios prensa</t>
        </is>
      </c>
      <c r="G198" t="inlineStr">
        <is>
          <t>Proyecto puntual</t>
        </is>
      </c>
      <c r="H198" t="inlineStr">
        <is>
          <t>Telefonía para anuncios prensa</t>
        </is>
      </c>
      <c r="I198" s="5" t="n">
        <v>2145.93</v>
      </c>
      <c r="J198" s="3" t="n">
        <v>0.21</v>
      </c>
      <c r="K198" s="5">
        <f>ROUND(I198*(1+J198),2)</f>
        <v/>
      </c>
      <c r="L198" t="inlineStr">
        <is>
          <t>Variable</t>
        </is>
      </c>
      <c r="M198" t="inlineStr">
        <is>
          <t>Marketing</t>
        </is>
      </c>
      <c r="N198" t="inlineStr">
        <is>
          <t>Intranet operaciones</t>
        </is>
      </c>
    </row>
    <row r="199">
      <c r="A199" t="inlineStr">
        <is>
          <t>GAS-0198</t>
        </is>
      </c>
      <c r="B199" s="2" t="n">
        <v>45689</v>
      </c>
      <c r="C199" t="inlineStr">
        <is>
          <t>Tecnología</t>
        </is>
      </c>
      <c r="D199" t="inlineStr">
        <is>
          <t>Software traducción</t>
        </is>
      </c>
      <c r="E199" t="inlineStr">
        <is>
          <t>Redacción Global</t>
        </is>
      </c>
      <c r="F199" t="inlineStr">
        <is>
          <t>Anuncios TV</t>
        </is>
      </c>
      <c r="G199" t="inlineStr">
        <is>
          <t>Proyecto puntual</t>
        </is>
      </c>
      <c r="H199" t="inlineStr">
        <is>
          <t>Software traducción para anuncios tv</t>
        </is>
      </c>
      <c r="I199" s="5" t="n">
        <v>613.87</v>
      </c>
      <c r="J199" s="3" t="n">
        <v>0</v>
      </c>
      <c r="K199" s="5">
        <f>ROUND(I199*(1+J199),2)</f>
        <v/>
      </c>
      <c r="L199" t="inlineStr">
        <is>
          <t>Fijo</t>
        </is>
      </c>
      <c r="M199" t="inlineStr">
        <is>
          <t>Tecnología</t>
        </is>
      </c>
      <c r="N199" t="inlineStr">
        <is>
          <t>Portal corporativo</t>
        </is>
      </c>
    </row>
    <row r="200">
      <c r="A200" t="inlineStr">
        <is>
          <t>GAS-0199</t>
        </is>
      </c>
      <c r="B200" s="2" t="n">
        <v>45726</v>
      </c>
      <c r="C200" t="inlineStr">
        <is>
          <t>Personal</t>
        </is>
      </c>
      <c r="D200" t="inlineStr">
        <is>
          <t>Salarios</t>
        </is>
      </c>
      <c r="E200" t="inlineStr">
        <is>
          <t>MediaCloud</t>
        </is>
      </c>
      <c r="F200" t="inlineStr">
        <is>
          <t>Anuncios RRHH</t>
        </is>
      </c>
      <c r="G200" t="inlineStr">
        <is>
          <t>Retainer trimestral</t>
        </is>
      </c>
      <c r="H200" t="inlineStr">
        <is>
          <t>Salarios para anuncios rrhh</t>
        </is>
      </c>
      <c r="I200" s="5" t="n">
        <v>5276.13</v>
      </c>
      <c r="J200" s="3" t="n">
        <v>0.21</v>
      </c>
      <c r="K200" s="5">
        <f>ROUND(I200*(1+J200),2)</f>
        <v/>
      </c>
      <c r="L200" t="inlineStr">
        <is>
          <t>Fijo</t>
        </is>
      </c>
      <c r="M200" t="inlineStr">
        <is>
          <t>Administración</t>
        </is>
      </c>
      <c r="N200" t="inlineStr">
        <is>
          <t>Microsite RRHH</t>
        </is>
      </c>
    </row>
    <row r="201">
      <c r="A201" t="inlineStr">
        <is>
          <t>GAS-0200</t>
        </is>
      </c>
      <c r="B201" s="2" t="n">
        <v>45648</v>
      </c>
      <c r="C201" t="inlineStr">
        <is>
          <t>Personal</t>
        </is>
      </c>
      <c r="D201" t="inlineStr">
        <is>
          <t>Salarios</t>
        </is>
      </c>
      <c r="E201" t="inlineStr">
        <is>
          <t>TVSpot Studio</t>
        </is>
      </c>
      <c r="F201" t="inlineStr">
        <is>
          <t>Mantenimiento web</t>
        </is>
      </c>
      <c r="G201" t="inlineStr">
        <is>
          <t>Retainer trimestral</t>
        </is>
      </c>
      <c r="H201" t="inlineStr">
        <is>
          <t>Salarios para mantenimiento web</t>
        </is>
      </c>
      <c r="I201" s="5" t="n">
        <v>6653.07</v>
      </c>
      <c r="J201" s="3" t="n">
        <v>0</v>
      </c>
      <c r="K201" s="5">
        <f>ROUND(I201*(1+J201),2)</f>
        <v/>
      </c>
      <c r="L201" t="inlineStr">
        <is>
          <t>Fijo</t>
        </is>
      </c>
      <c r="M201" t="inlineStr">
        <is>
          <t>Administración</t>
        </is>
      </c>
      <c r="N201" t="inlineStr">
        <is>
          <t>Intranet comercial</t>
        </is>
      </c>
    </row>
    <row r="202">
      <c r="A202" t="inlineStr">
        <is>
          <t>GAS-0201</t>
        </is>
      </c>
      <c r="B202" s="2" t="n">
        <v>45708</v>
      </c>
      <c r="C202" t="inlineStr">
        <is>
          <t>Tecnología</t>
        </is>
      </c>
      <c r="D202" t="inlineStr">
        <is>
          <t>Monitorización</t>
        </is>
      </c>
      <c r="E202" t="inlineStr">
        <is>
          <t>TVSpot Studio</t>
        </is>
      </c>
      <c r="F202" t="inlineStr">
        <is>
          <t>Publicación de noticias</t>
        </is>
      </c>
      <c r="G202" t="inlineStr">
        <is>
          <t>Proyecto puntual</t>
        </is>
      </c>
      <c r="H202" t="inlineStr">
        <is>
          <t>Monitorización para publicación de noticias</t>
        </is>
      </c>
      <c r="I202" s="5" t="n">
        <v>927.37</v>
      </c>
      <c r="J202" s="3" t="n">
        <v>0.21</v>
      </c>
      <c r="K202" s="5">
        <f>ROUND(I202*(1+J202),2)</f>
        <v/>
      </c>
      <c r="L202" t="inlineStr">
        <is>
          <t>Variable</t>
        </is>
      </c>
      <c r="M202" t="inlineStr">
        <is>
          <t>Comercial</t>
        </is>
      </c>
      <c r="N202" t="inlineStr">
        <is>
          <t>Centro de prensa</t>
        </is>
      </c>
    </row>
    <row r="203">
      <c r="A203" t="inlineStr">
        <is>
          <t>GAS-0202</t>
        </is>
      </c>
      <c r="B203" s="2" t="n">
        <v>45308</v>
      </c>
      <c r="C203" t="inlineStr">
        <is>
          <t>Tecnología</t>
        </is>
      </c>
      <c r="D203" t="inlineStr">
        <is>
          <t>Herramientas SEO</t>
        </is>
      </c>
      <c r="E203" t="inlineStr">
        <is>
          <t>CloudPulse</t>
        </is>
      </c>
      <c r="F203" t="inlineStr">
        <is>
          <t>Anuncios internet</t>
        </is>
      </c>
      <c r="G203" t="inlineStr">
        <is>
          <t>Proyecto puntual</t>
        </is>
      </c>
      <c r="H203" t="inlineStr">
        <is>
          <t>Herramientas SEO para anuncios internet</t>
        </is>
      </c>
      <c r="I203" s="5" t="n">
        <v>1692.97</v>
      </c>
      <c r="J203" s="3" t="n">
        <v>0.1</v>
      </c>
      <c r="K203" s="5">
        <f>ROUND(I203*(1+J203),2)</f>
        <v/>
      </c>
      <c r="L203" t="inlineStr">
        <is>
          <t>Fijo</t>
        </is>
      </c>
      <c r="M203" t="inlineStr">
        <is>
          <t>Operaciones</t>
        </is>
      </c>
      <c r="N203" t="inlineStr">
        <is>
          <t>Microsite RRHH</t>
        </is>
      </c>
    </row>
    <row r="204">
      <c r="A204" t="inlineStr">
        <is>
          <t>GAS-0203</t>
        </is>
      </c>
      <c r="B204" s="2" t="n">
        <v>45372</v>
      </c>
      <c r="C204" t="inlineStr">
        <is>
          <t>Operaciones</t>
        </is>
      </c>
      <c r="D204" t="inlineStr">
        <is>
          <t>QA intranet</t>
        </is>
      </c>
      <c r="E204" t="inlineStr">
        <is>
          <t>IntraSys</t>
        </is>
      </c>
      <c r="F204" t="inlineStr">
        <is>
          <t>Anuncios TV</t>
        </is>
      </c>
      <c r="G204" t="inlineStr">
        <is>
          <t>Suscripción mensual</t>
        </is>
      </c>
      <c r="H204" t="inlineStr">
        <is>
          <t>QA intranet para anuncios tv</t>
        </is>
      </c>
      <c r="I204" s="5" t="n">
        <v>1940.3</v>
      </c>
      <c r="J204" s="3" t="n">
        <v>0.1</v>
      </c>
      <c r="K204" s="5">
        <f>ROUND(I204*(1+J204),2)</f>
        <v/>
      </c>
      <c r="L204" t="inlineStr">
        <is>
          <t>Variable</t>
        </is>
      </c>
      <c r="M204" t="inlineStr">
        <is>
          <t>Comercial</t>
        </is>
      </c>
      <c r="N204" t="inlineStr">
        <is>
          <t>Campaña empleo</t>
        </is>
      </c>
    </row>
    <row r="205">
      <c r="A205" t="inlineStr">
        <is>
          <t>GAS-0204</t>
        </is>
      </c>
      <c r="B205" s="2" t="n">
        <v>45646</v>
      </c>
      <c r="C205" t="inlineStr">
        <is>
          <t>Tecnología</t>
        </is>
      </c>
      <c r="D205" t="inlineStr">
        <is>
          <t>Hosting</t>
        </is>
      </c>
      <c r="E205" t="inlineStr">
        <is>
          <t>Legal Iberia</t>
        </is>
      </c>
      <c r="F205" t="inlineStr">
        <is>
          <t>Mantenimiento intranets</t>
        </is>
      </c>
      <c r="G205" t="inlineStr">
        <is>
          <t>Campaña</t>
        </is>
      </c>
      <c r="H205" t="inlineStr">
        <is>
          <t>Hosting para mantenimiento intranets</t>
        </is>
      </c>
      <c r="I205" s="5" t="n">
        <v>1988.21</v>
      </c>
      <c r="J205" s="3" t="n">
        <v>0.21</v>
      </c>
      <c r="K205" s="5">
        <f>ROUND(I205*(1+J205),2)</f>
        <v/>
      </c>
      <c r="L205" t="inlineStr">
        <is>
          <t>Variable</t>
        </is>
      </c>
      <c r="M205" t="inlineStr">
        <is>
          <t>Marketing</t>
        </is>
      </c>
      <c r="N205" t="inlineStr">
        <is>
          <t>Sección noticias</t>
        </is>
      </c>
    </row>
    <row r="206">
      <c r="A206" t="inlineStr">
        <is>
          <t>GAS-0205</t>
        </is>
      </c>
      <c r="B206" s="2" t="n">
        <v>45306</v>
      </c>
      <c r="C206" t="inlineStr">
        <is>
          <t>Personal</t>
        </is>
      </c>
      <c r="D206" t="inlineStr">
        <is>
          <t>Seguridad Social</t>
        </is>
      </c>
      <c r="E206" t="inlineStr">
        <is>
          <t>NoticiasPro</t>
        </is>
      </c>
      <c r="F206" t="inlineStr">
        <is>
          <t>Anuncios prensa</t>
        </is>
      </c>
      <c r="G206" t="inlineStr">
        <is>
          <t>Retainer trimestral</t>
        </is>
      </c>
      <c r="H206" t="inlineStr">
        <is>
          <t>Seguridad Social para anuncios prensa</t>
        </is>
      </c>
      <c r="I206" s="5" t="n">
        <v>2621.53</v>
      </c>
      <c r="J206" s="3" t="n">
        <v>0.21</v>
      </c>
      <c r="K206" s="5">
        <f>ROUND(I206*(1+J206),2)</f>
        <v/>
      </c>
      <c r="L206" t="inlineStr">
        <is>
          <t>Fijo</t>
        </is>
      </c>
      <c r="M206" t="inlineStr">
        <is>
          <t>Operaciones</t>
        </is>
      </c>
      <c r="N206" t="inlineStr">
        <is>
          <t>Campaña empleo</t>
        </is>
      </c>
    </row>
    <row r="207">
      <c r="A207" t="inlineStr">
        <is>
          <t>GAS-0206</t>
        </is>
      </c>
      <c r="B207" s="2" t="n">
        <v>45581</v>
      </c>
      <c r="C207" t="inlineStr">
        <is>
          <t>Tecnología</t>
        </is>
      </c>
      <c r="D207" t="inlineStr">
        <is>
          <t>Herramientas SEO</t>
        </is>
      </c>
      <c r="E207" t="inlineStr">
        <is>
          <t>Acme Hosting</t>
        </is>
      </c>
      <c r="F207" t="inlineStr">
        <is>
          <t>Mantenimiento intranets</t>
        </is>
      </c>
      <c r="G207" t="inlineStr">
        <is>
          <t>Soporte anual</t>
        </is>
      </c>
      <c r="H207" t="inlineStr">
        <is>
          <t>Herramientas SEO para mantenimiento intranets</t>
        </is>
      </c>
      <c r="I207" s="5" t="n">
        <v>1561.06</v>
      </c>
      <c r="J207" s="3" t="n">
        <v>0.21</v>
      </c>
      <c r="K207" s="5">
        <f>ROUND(I207*(1+J207),2)</f>
        <v/>
      </c>
      <c r="L207" t="inlineStr">
        <is>
          <t>Fijo</t>
        </is>
      </c>
      <c r="M207" t="inlineStr">
        <is>
          <t>Operaciones</t>
        </is>
      </c>
      <c r="N207" t="inlineStr">
        <is>
          <t>Portal internacional</t>
        </is>
      </c>
    </row>
    <row r="208">
      <c r="A208" t="inlineStr">
        <is>
          <t>GAS-0207</t>
        </is>
      </c>
      <c r="B208" s="2" t="n">
        <v>45492</v>
      </c>
      <c r="C208" t="inlineStr">
        <is>
          <t>Personal</t>
        </is>
      </c>
      <c r="D208" t="inlineStr">
        <is>
          <t>Seguridad Social</t>
        </is>
      </c>
      <c r="E208" t="inlineStr">
        <is>
          <t>Redacción Global</t>
        </is>
      </c>
      <c r="F208" t="inlineStr">
        <is>
          <t>Mantenimiento web</t>
        </is>
      </c>
      <c r="G208" t="inlineStr">
        <is>
          <t>Retainer trimestral</t>
        </is>
      </c>
      <c r="H208" t="inlineStr">
        <is>
          <t>Seguridad Social para mantenimiento web</t>
        </is>
      </c>
      <c r="I208" s="5" t="n">
        <v>8357.950000000001</v>
      </c>
      <c r="J208" s="3" t="n">
        <v>0.21</v>
      </c>
      <c r="K208" s="5">
        <f>ROUND(I208*(1+J208),2)</f>
        <v/>
      </c>
      <c r="L208" t="inlineStr">
        <is>
          <t>Fijo</t>
        </is>
      </c>
      <c r="M208" t="inlineStr">
        <is>
          <t>Tecnología</t>
        </is>
      </c>
      <c r="N208" t="inlineStr">
        <is>
          <t>Microsite RRHH</t>
        </is>
      </c>
    </row>
    <row r="209">
      <c r="A209" t="inlineStr">
        <is>
          <t>GAS-0208</t>
        </is>
      </c>
      <c r="B209" s="2" t="n">
        <v>45728</v>
      </c>
      <c r="C209" t="inlineStr">
        <is>
          <t>Operaciones</t>
        </is>
      </c>
      <c r="D209" t="inlineStr">
        <is>
          <t>Freelancers</t>
        </is>
      </c>
      <c r="E209" t="inlineStr">
        <is>
          <t>Acme Hosting</t>
        </is>
      </c>
      <c r="F209" t="inlineStr">
        <is>
          <t>Anuncios TV</t>
        </is>
      </c>
      <c r="G209" t="inlineStr">
        <is>
          <t>Retainer trimestral</t>
        </is>
      </c>
      <c r="H209" t="inlineStr">
        <is>
          <t>Freelancers para anuncios tv</t>
        </is>
      </c>
      <c r="I209" s="5" t="n">
        <v>2385.35</v>
      </c>
      <c r="J209" s="3" t="n">
        <v>0.21</v>
      </c>
      <c r="K209" s="5">
        <f>ROUND(I209*(1+J209),2)</f>
        <v/>
      </c>
      <c r="L209" t="inlineStr">
        <is>
          <t>Fijo</t>
        </is>
      </c>
      <c r="M209" t="inlineStr">
        <is>
          <t>Marketing</t>
        </is>
      </c>
      <c r="N209" t="inlineStr">
        <is>
          <t>Intranet comercial</t>
        </is>
      </c>
    </row>
    <row r="210">
      <c r="A210" t="inlineStr">
        <is>
          <t>GAS-0209</t>
        </is>
      </c>
      <c r="B210" s="2" t="n">
        <v>45548</v>
      </c>
      <c r="C210" t="inlineStr">
        <is>
          <t>Operaciones</t>
        </is>
      </c>
      <c r="D210" t="inlineStr">
        <is>
          <t>Freelancers</t>
        </is>
      </c>
      <c r="E210" t="inlineStr">
        <is>
          <t>NominaPlus</t>
        </is>
      </c>
      <c r="F210" t="inlineStr">
        <is>
          <t>Mantenimiento intranets</t>
        </is>
      </c>
      <c r="G210" t="inlineStr">
        <is>
          <t>Soporte anual</t>
        </is>
      </c>
      <c r="H210" t="inlineStr">
        <is>
          <t>Freelancers para mantenimiento intranets</t>
        </is>
      </c>
      <c r="I210" s="5" t="n">
        <v>4647.63</v>
      </c>
      <c r="J210" s="3" t="n">
        <v>0.1</v>
      </c>
      <c r="K210" s="5">
        <f>ROUND(I210*(1+J210),2)</f>
        <v/>
      </c>
      <c r="L210" t="inlineStr">
        <is>
          <t>Variable</t>
        </is>
      </c>
      <c r="M210" t="inlineStr">
        <is>
          <t>Marketing</t>
        </is>
      </c>
      <c r="N210" t="inlineStr">
        <is>
          <t>Sección noticias</t>
        </is>
      </c>
    </row>
    <row r="211">
      <c r="A211" t="inlineStr">
        <is>
          <t>GAS-0210</t>
        </is>
      </c>
      <c r="B211" s="2" t="n">
        <v>45602</v>
      </c>
      <c r="C211" t="inlineStr">
        <is>
          <t>Personal</t>
        </is>
      </c>
      <c r="D211" t="inlineStr">
        <is>
          <t>Seguridad Social</t>
        </is>
      </c>
      <c r="E211" t="inlineStr">
        <is>
          <t>LinguaTech</t>
        </is>
      </c>
      <c r="F211" t="inlineStr">
        <is>
          <t>Anuncios prensa</t>
        </is>
      </c>
      <c r="G211" t="inlineStr">
        <is>
          <t>Proyecto puntual</t>
        </is>
      </c>
      <c r="H211" t="inlineStr">
        <is>
          <t>Seguridad Social para anuncios prensa</t>
        </is>
      </c>
      <c r="I211" s="5" t="n">
        <v>1492.09</v>
      </c>
      <c r="J211" s="3" t="n">
        <v>0.1</v>
      </c>
      <c r="K211" s="5">
        <f>ROUND(I211*(1+J211),2)</f>
        <v/>
      </c>
      <c r="L211" t="inlineStr">
        <is>
          <t>Variable</t>
        </is>
      </c>
      <c r="M211" t="inlineStr">
        <is>
          <t>Operaciones</t>
        </is>
      </c>
      <c r="N211" t="inlineStr">
        <is>
          <t>Portal corporativo</t>
        </is>
      </c>
    </row>
    <row r="212">
      <c r="A212" t="inlineStr">
        <is>
          <t>GAS-0211</t>
        </is>
      </c>
      <c r="B212" s="2" t="n">
        <v>45378</v>
      </c>
      <c r="C212" t="inlineStr">
        <is>
          <t>Personal</t>
        </is>
      </c>
      <c r="D212" t="inlineStr">
        <is>
          <t>Seguridad Social</t>
        </is>
      </c>
      <c r="E212" t="inlineStr">
        <is>
          <t>IntraSys</t>
        </is>
      </c>
      <c r="F212" t="inlineStr">
        <is>
          <t>Anuncios TV</t>
        </is>
      </c>
      <c r="G212" t="inlineStr">
        <is>
          <t>Proyecto puntual</t>
        </is>
      </c>
      <c r="H212" t="inlineStr">
        <is>
          <t>Seguridad Social para anuncios tv</t>
        </is>
      </c>
      <c r="I212" s="5" t="n">
        <v>7533</v>
      </c>
      <c r="J212" s="3" t="n">
        <v>0</v>
      </c>
      <c r="K212" s="5">
        <f>ROUND(I212*(1+J212),2)</f>
        <v/>
      </c>
      <c r="L212" t="inlineStr">
        <is>
          <t>Variable</t>
        </is>
      </c>
      <c r="M212" t="inlineStr">
        <is>
          <t>Administración</t>
        </is>
      </c>
      <c r="N212" t="inlineStr">
        <is>
          <t>Portal internacional</t>
        </is>
      </c>
    </row>
    <row r="213">
      <c r="A213" t="inlineStr">
        <is>
          <t>GAS-0212</t>
        </is>
      </c>
      <c r="B213" s="2" t="n">
        <v>45518</v>
      </c>
      <c r="C213" t="inlineStr">
        <is>
          <t>Tecnología</t>
        </is>
      </c>
      <c r="D213" t="inlineStr">
        <is>
          <t>Hosting</t>
        </is>
      </c>
      <c r="E213" t="inlineStr">
        <is>
          <t>SEO Metrics</t>
        </is>
      </c>
      <c r="F213" t="inlineStr">
        <is>
          <t>Publicación de noticias</t>
        </is>
      </c>
      <c r="G213" t="inlineStr">
        <is>
          <t>Proyecto puntual</t>
        </is>
      </c>
      <c r="H213" t="inlineStr">
        <is>
          <t>Hosting para publicación de noticias</t>
        </is>
      </c>
      <c r="I213" s="5" t="n">
        <v>1148.92</v>
      </c>
      <c r="J213" s="3" t="n">
        <v>0</v>
      </c>
      <c r="K213" s="5">
        <f>ROUND(I213*(1+J213),2)</f>
        <v/>
      </c>
      <c r="L213" t="inlineStr">
        <is>
          <t>Variable</t>
        </is>
      </c>
      <c r="M213" t="inlineStr">
        <is>
          <t>Operaciones</t>
        </is>
      </c>
      <c r="N213" t="inlineStr">
        <is>
          <t>Portal internacional</t>
        </is>
      </c>
    </row>
    <row r="214">
      <c r="A214" t="inlineStr">
        <is>
          <t>GAS-0213</t>
        </is>
      </c>
      <c r="B214" s="2" t="n">
        <v>45452</v>
      </c>
      <c r="C214" t="inlineStr">
        <is>
          <t>Operaciones</t>
        </is>
      </c>
      <c r="D214" t="inlineStr">
        <is>
          <t>QA intranet</t>
        </is>
      </c>
      <c r="E214" t="inlineStr">
        <is>
          <t>AdVision</t>
        </is>
      </c>
      <c r="F214" t="inlineStr">
        <is>
          <t>Anuncios prensa</t>
        </is>
      </c>
      <c r="G214" t="inlineStr">
        <is>
          <t>Suscripción mensual</t>
        </is>
      </c>
      <c r="H214" t="inlineStr">
        <is>
          <t>QA intranet para anuncios prensa</t>
        </is>
      </c>
      <c r="I214" s="5" t="n">
        <v>2295.38</v>
      </c>
      <c r="J214" s="3" t="n">
        <v>0.21</v>
      </c>
      <c r="K214" s="5">
        <f>ROUND(I214*(1+J214),2)</f>
        <v/>
      </c>
      <c r="L214" t="inlineStr">
        <is>
          <t>Variable</t>
        </is>
      </c>
      <c r="M214" t="inlineStr">
        <is>
          <t>Tecnología</t>
        </is>
      </c>
      <c r="N214" t="inlineStr">
        <is>
          <t>Portal corporativo</t>
        </is>
      </c>
    </row>
    <row r="215">
      <c r="A215" t="inlineStr">
        <is>
          <t>GAS-0214</t>
        </is>
      </c>
      <c r="B215" s="2" t="n">
        <v>45583</v>
      </c>
      <c r="C215" t="inlineStr">
        <is>
          <t>Marketing</t>
        </is>
      </c>
      <c r="D215" t="inlineStr">
        <is>
          <t>Ads LinkedIn</t>
        </is>
      </c>
      <c r="E215" t="inlineStr">
        <is>
          <t>TVSpot Studio</t>
        </is>
      </c>
      <c r="F215" t="inlineStr">
        <is>
          <t>Mantenimiento intranets</t>
        </is>
      </c>
      <c r="G215" t="inlineStr">
        <is>
          <t>Suscripción mensual</t>
        </is>
      </c>
      <c r="H215" t="inlineStr">
        <is>
          <t>Ads LinkedIn para mantenimiento intranets</t>
        </is>
      </c>
      <c r="I215" s="5" t="n">
        <v>2108.38</v>
      </c>
      <c r="J215" s="3" t="n">
        <v>0.21</v>
      </c>
      <c r="K215" s="5">
        <f>ROUND(I215*(1+J215),2)</f>
        <v/>
      </c>
      <c r="L215" t="inlineStr">
        <is>
          <t>Variable</t>
        </is>
      </c>
      <c r="M215" t="inlineStr">
        <is>
          <t>Marketing</t>
        </is>
      </c>
      <c r="N215" t="inlineStr">
        <is>
          <t>Intranet comercial</t>
        </is>
      </c>
    </row>
    <row r="216">
      <c r="A216" t="inlineStr">
        <is>
          <t>GAS-0215</t>
        </is>
      </c>
      <c r="B216" s="2" t="n">
        <v>45495</v>
      </c>
      <c r="C216" t="inlineStr">
        <is>
          <t>Personal</t>
        </is>
      </c>
      <c r="D216" t="inlineStr">
        <is>
          <t>Seguridad Social</t>
        </is>
      </c>
      <c r="E216" t="inlineStr">
        <is>
          <t>TVSpot Studio</t>
        </is>
      </c>
      <c r="F216" t="inlineStr">
        <is>
          <t>Anuncios TV</t>
        </is>
      </c>
      <c r="G216" t="inlineStr">
        <is>
          <t>Proyecto puntual</t>
        </is>
      </c>
      <c r="H216" t="inlineStr">
        <is>
          <t>Seguridad Social para anuncios tv</t>
        </is>
      </c>
      <c r="I216" s="5" t="n">
        <v>7770.92</v>
      </c>
      <c r="J216" s="3" t="n">
        <v>0.21</v>
      </c>
      <c r="K216" s="5">
        <f>ROUND(I216*(1+J216),2)</f>
        <v/>
      </c>
      <c r="L216" t="inlineStr">
        <is>
          <t>Variable</t>
        </is>
      </c>
      <c r="M216" t="inlineStr">
        <is>
          <t>Operaciones</t>
        </is>
      </c>
      <c r="N216" t="inlineStr">
        <is>
          <t>Portal internacional</t>
        </is>
      </c>
    </row>
    <row r="217">
      <c r="A217" t="inlineStr">
        <is>
          <t>GAS-0216</t>
        </is>
      </c>
      <c r="B217" s="2" t="n">
        <v>45532</v>
      </c>
      <c r="C217" t="inlineStr">
        <is>
          <t>Personal</t>
        </is>
      </c>
      <c r="D217" t="inlineStr">
        <is>
          <t>Formación</t>
        </is>
      </c>
      <c r="E217" t="inlineStr">
        <is>
          <t>MediaCloud</t>
        </is>
      </c>
      <c r="F217" t="inlineStr">
        <is>
          <t>Anuncios internet</t>
        </is>
      </c>
      <c r="G217" t="inlineStr">
        <is>
          <t>Proyecto puntual</t>
        </is>
      </c>
      <c r="H217" t="inlineStr">
        <is>
          <t>Formación para anuncios internet</t>
        </is>
      </c>
      <c r="I217" s="5" t="n">
        <v>2752.24</v>
      </c>
      <c r="J217" s="3" t="n">
        <v>0.21</v>
      </c>
      <c r="K217" s="5">
        <f>ROUND(I217*(1+J217),2)</f>
        <v/>
      </c>
      <c r="L217" t="inlineStr">
        <is>
          <t>Fijo</t>
        </is>
      </c>
      <c r="M217" t="inlineStr">
        <is>
          <t>Administración</t>
        </is>
      </c>
      <c r="N217" t="inlineStr">
        <is>
          <t>Microsite RRHH</t>
        </is>
      </c>
    </row>
    <row r="218">
      <c r="A218" t="inlineStr">
        <is>
          <t>GAS-0217</t>
        </is>
      </c>
      <c r="B218" s="2" t="n">
        <v>45508</v>
      </c>
      <c r="C218" t="inlineStr">
        <is>
          <t>Personal</t>
        </is>
      </c>
      <c r="D218" t="inlineStr">
        <is>
          <t>Seguridad Social</t>
        </is>
      </c>
      <c r="E218" t="inlineStr">
        <is>
          <t>IntraSys</t>
        </is>
      </c>
      <c r="F218" t="inlineStr">
        <is>
          <t>Anuncios prensa</t>
        </is>
      </c>
      <c r="G218" t="inlineStr">
        <is>
          <t>Retainer trimestral</t>
        </is>
      </c>
      <c r="H218" t="inlineStr">
        <is>
          <t>Seguridad Social para anuncios prensa</t>
        </is>
      </c>
      <c r="I218" s="5" t="n">
        <v>8343.49</v>
      </c>
      <c r="J218" s="3" t="n">
        <v>0.21</v>
      </c>
      <c r="K218" s="5">
        <f>ROUND(I218*(1+J218),2)</f>
        <v/>
      </c>
      <c r="L218" t="inlineStr">
        <is>
          <t>Fijo</t>
        </is>
      </c>
      <c r="M218" t="inlineStr">
        <is>
          <t>Comercial</t>
        </is>
      </c>
      <c r="N218" t="inlineStr">
        <is>
          <t>Intranet comercial</t>
        </is>
      </c>
    </row>
    <row r="219">
      <c r="A219" t="inlineStr">
        <is>
          <t>GAS-0218</t>
        </is>
      </c>
      <c r="B219" s="2" t="n">
        <v>45386</v>
      </c>
      <c r="C219" t="inlineStr">
        <is>
          <t>Personal</t>
        </is>
      </c>
      <c r="D219" t="inlineStr">
        <is>
          <t>Salarios</t>
        </is>
      </c>
      <c r="E219" t="inlineStr">
        <is>
          <t>Acme Hosting</t>
        </is>
      </c>
      <c r="F219" t="inlineStr">
        <is>
          <t>Generación de noticias</t>
        </is>
      </c>
      <c r="G219" t="inlineStr">
        <is>
          <t>Suscripción mensual</t>
        </is>
      </c>
      <c r="H219" t="inlineStr">
        <is>
          <t>Salarios para generación de noticias</t>
        </is>
      </c>
      <c r="I219" s="5" t="n">
        <v>7578.56</v>
      </c>
      <c r="J219" s="3" t="n">
        <v>0.21</v>
      </c>
      <c r="K219" s="5">
        <f>ROUND(I219*(1+J219),2)</f>
        <v/>
      </c>
      <c r="L219" t="inlineStr">
        <is>
          <t>Variable</t>
        </is>
      </c>
      <c r="M219" t="inlineStr">
        <is>
          <t>Tecnología</t>
        </is>
      </c>
      <c r="N219" t="inlineStr">
        <is>
          <t>Sección noticias</t>
        </is>
      </c>
    </row>
    <row r="220">
      <c r="A220" t="inlineStr">
        <is>
          <t>GAS-0219</t>
        </is>
      </c>
      <c r="B220" s="2" t="n">
        <v>45646</v>
      </c>
      <c r="C220" t="inlineStr">
        <is>
          <t>Personal</t>
        </is>
      </c>
      <c r="D220" t="inlineStr">
        <is>
          <t>Seguridad Social</t>
        </is>
      </c>
      <c r="E220" t="inlineStr">
        <is>
          <t>CloudPulse</t>
        </is>
      </c>
      <c r="F220" t="inlineStr">
        <is>
          <t>Anuncios internet</t>
        </is>
      </c>
      <c r="G220" t="inlineStr">
        <is>
          <t>Campaña</t>
        </is>
      </c>
      <c r="H220" t="inlineStr">
        <is>
          <t>Seguridad Social para anuncios internet</t>
        </is>
      </c>
      <c r="I220" s="5" t="n">
        <v>4671.15</v>
      </c>
      <c r="J220" s="3" t="n">
        <v>0</v>
      </c>
      <c r="K220" s="5">
        <f>ROUND(I220*(1+J220),2)</f>
        <v/>
      </c>
      <c r="L220" t="inlineStr">
        <is>
          <t>Fijo</t>
        </is>
      </c>
      <c r="M220" t="inlineStr">
        <is>
          <t>Operaciones</t>
        </is>
      </c>
      <c r="N220" t="inlineStr">
        <is>
          <t>Sección noticias</t>
        </is>
      </c>
    </row>
    <row r="221">
      <c r="A221" t="inlineStr">
        <is>
          <t>GAS-0220</t>
        </is>
      </c>
      <c r="B221" s="2" t="n">
        <v>45697</v>
      </c>
      <c r="C221" t="inlineStr">
        <is>
          <t>Personal</t>
        </is>
      </c>
      <c r="D221" t="inlineStr">
        <is>
          <t>Formación</t>
        </is>
      </c>
      <c r="E221" t="inlineStr">
        <is>
          <t>SEO Metrics</t>
        </is>
      </c>
      <c r="F221" t="inlineStr">
        <is>
          <t>Anuncios RRHH</t>
        </is>
      </c>
      <c r="G221" t="inlineStr">
        <is>
          <t>Campaña</t>
        </is>
      </c>
      <c r="H221" t="inlineStr">
        <is>
          <t>Formación para anuncios rrhh</t>
        </is>
      </c>
      <c r="I221" s="5" t="n">
        <v>1303.56</v>
      </c>
      <c r="J221" s="3" t="n">
        <v>0.21</v>
      </c>
      <c r="K221" s="5">
        <f>ROUND(I221*(1+J221),2)</f>
        <v/>
      </c>
      <c r="L221" t="inlineStr">
        <is>
          <t>Fijo</t>
        </is>
      </c>
      <c r="M221" t="inlineStr">
        <is>
          <t>Marketing</t>
        </is>
      </c>
      <c r="N221" t="inlineStr">
        <is>
          <t>Sección noticias</t>
        </is>
      </c>
    </row>
    <row r="222">
      <c r="A222" t="inlineStr">
        <is>
          <t>GAS-0221</t>
        </is>
      </c>
      <c r="B222" s="2" t="n">
        <v>45599</v>
      </c>
      <c r="C222" t="inlineStr">
        <is>
          <t>Marketing</t>
        </is>
      </c>
      <c r="D222" t="inlineStr">
        <is>
          <t>Diseño creativo</t>
        </is>
      </c>
      <c r="E222" t="inlineStr">
        <is>
          <t>TVSpot Studio</t>
        </is>
      </c>
      <c r="F222" t="inlineStr">
        <is>
          <t>Traducciones</t>
        </is>
      </c>
      <c r="G222" t="inlineStr">
        <is>
          <t>Proyecto puntual</t>
        </is>
      </c>
      <c r="H222" t="inlineStr">
        <is>
          <t>Diseño creativo para traducciones</t>
        </is>
      </c>
      <c r="I222" s="5" t="n">
        <v>2495.59</v>
      </c>
      <c r="J222" s="3" t="n">
        <v>0.21</v>
      </c>
      <c r="K222" s="5">
        <f>ROUND(I222*(1+J222),2)</f>
        <v/>
      </c>
      <c r="L222" t="inlineStr">
        <is>
          <t>Fijo</t>
        </is>
      </c>
      <c r="M222" t="inlineStr">
        <is>
          <t>Comercial</t>
        </is>
      </c>
      <c r="N222" t="inlineStr">
        <is>
          <t>Portal corporativo</t>
        </is>
      </c>
    </row>
    <row r="223">
      <c r="A223" t="inlineStr">
        <is>
          <t>GAS-0222</t>
        </is>
      </c>
      <c r="B223" s="2" t="n">
        <v>45525</v>
      </c>
      <c r="C223" t="inlineStr">
        <is>
          <t>Tecnología</t>
        </is>
      </c>
      <c r="D223" t="inlineStr">
        <is>
          <t>Herramientas SEO</t>
        </is>
      </c>
      <c r="E223" t="inlineStr">
        <is>
          <t>TVSpot Studio</t>
        </is>
      </c>
      <c r="F223" t="inlineStr">
        <is>
          <t>Mantenimiento web</t>
        </is>
      </c>
      <c r="G223" t="inlineStr">
        <is>
          <t>Campaña</t>
        </is>
      </c>
      <c r="H223" t="inlineStr">
        <is>
          <t>Herramientas SEO para mantenimiento web</t>
        </is>
      </c>
      <c r="I223" s="5" t="n">
        <v>792.16</v>
      </c>
      <c r="J223" s="3" t="n">
        <v>0.21</v>
      </c>
      <c r="K223" s="5">
        <f>ROUND(I223*(1+J223),2)</f>
        <v/>
      </c>
      <c r="L223" t="inlineStr">
        <is>
          <t>Variable</t>
        </is>
      </c>
      <c r="M223" t="inlineStr">
        <is>
          <t>Administración</t>
        </is>
      </c>
      <c r="N223" t="inlineStr">
        <is>
          <t>Microsite RRHH</t>
        </is>
      </c>
    </row>
    <row r="224">
      <c r="A224" t="inlineStr">
        <is>
          <t>GAS-0223</t>
        </is>
      </c>
      <c r="B224" s="2" t="n">
        <v>45515</v>
      </c>
      <c r="C224" t="inlineStr">
        <is>
          <t>Tecnología</t>
        </is>
      </c>
      <c r="D224" t="inlineStr">
        <is>
          <t>Herramientas SEO</t>
        </is>
      </c>
      <c r="E224" t="inlineStr">
        <is>
          <t>TVSpot Studio</t>
        </is>
      </c>
      <c r="F224" t="inlineStr">
        <is>
          <t>Traducciones</t>
        </is>
      </c>
      <c r="G224" t="inlineStr">
        <is>
          <t>Retainer trimestral</t>
        </is>
      </c>
      <c r="H224" t="inlineStr">
        <is>
          <t>Herramientas SEO para traducciones</t>
        </is>
      </c>
      <c r="I224" s="5" t="n">
        <v>1144.47</v>
      </c>
      <c r="J224" s="3" t="n">
        <v>0.21</v>
      </c>
      <c r="K224" s="5">
        <f>ROUND(I224*(1+J224),2)</f>
        <v/>
      </c>
      <c r="L224" t="inlineStr">
        <is>
          <t>Variable</t>
        </is>
      </c>
      <c r="M224" t="inlineStr">
        <is>
          <t>Administración</t>
        </is>
      </c>
      <c r="N224" t="inlineStr">
        <is>
          <t>Intranet comercial</t>
        </is>
      </c>
    </row>
    <row r="225">
      <c r="A225" t="inlineStr">
        <is>
          <t>GAS-0224</t>
        </is>
      </c>
      <c r="B225" s="2" t="n">
        <v>45570</v>
      </c>
      <c r="C225" t="inlineStr">
        <is>
          <t>Administración</t>
        </is>
      </c>
      <c r="D225" t="inlineStr">
        <is>
          <t>Alquiler oficina</t>
        </is>
      </c>
      <c r="E225" t="inlineStr">
        <is>
          <t>LinguaTech</t>
        </is>
      </c>
      <c r="F225" t="inlineStr">
        <is>
          <t>Traducciones</t>
        </is>
      </c>
      <c r="G225" t="inlineStr">
        <is>
          <t>Campaña</t>
        </is>
      </c>
      <c r="H225" t="inlineStr">
        <is>
          <t>Alquiler oficina para traducciones</t>
        </is>
      </c>
      <c r="I225" s="5" t="n">
        <v>2655.87</v>
      </c>
      <c r="J225" s="3" t="n">
        <v>0.1</v>
      </c>
      <c r="K225" s="5">
        <f>ROUND(I225*(1+J225),2)</f>
        <v/>
      </c>
      <c r="L225" t="inlineStr">
        <is>
          <t>Fijo</t>
        </is>
      </c>
      <c r="M225" t="inlineStr">
        <is>
          <t>Tecnología</t>
        </is>
      </c>
      <c r="N225" t="inlineStr">
        <is>
          <t>Microsite RRHH</t>
        </is>
      </c>
    </row>
    <row r="226">
      <c r="A226" t="inlineStr">
        <is>
          <t>GAS-0225</t>
        </is>
      </c>
      <c r="B226" s="2" t="n">
        <v>45529</v>
      </c>
      <c r="C226" t="inlineStr">
        <is>
          <t>Personal</t>
        </is>
      </c>
      <c r="D226" t="inlineStr">
        <is>
          <t>Seguridad Social</t>
        </is>
      </c>
      <c r="E226" t="inlineStr">
        <is>
          <t>TVSpot Studio</t>
        </is>
      </c>
      <c r="F226" t="inlineStr">
        <is>
          <t>Anuncios TV</t>
        </is>
      </c>
      <c r="G226" t="inlineStr">
        <is>
          <t>Campaña</t>
        </is>
      </c>
      <c r="H226" t="inlineStr">
        <is>
          <t>Seguridad Social para anuncios tv</t>
        </is>
      </c>
      <c r="I226" s="5" t="n">
        <v>3981.88</v>
      </c>
      <c r="J226" s="3" t="n">
        <v>0</v>
      </c>
      <c r="K226" s="5">
        <f>ROUND(I226*(1+J226),2)</f>
        <v/>
      </c>
      <c r="L226" t="inlineStr">
        <is>
          <t>Variable</t>
        </is>
      </c>
      <c r="M226" t="inlineStr">
        <is>
          <t>Comercial</t>
        </is>
      </c>
      <c r="N226" t="inlineStr">
        <is>
          <t>Centro de prensa</t>
        </is>
      </c>
    </row>
    <row r="227">
      <c r="A227" t="inlineStr">
        <is>
          <t>GAS-0226</t>
        </is>
      </c>
      <c r="B227" s="2" t="n">
        <v>45504</v>
      </c>
      <c r="C227" t="inlineStr">
        <is>
          <t>Personal</t>
        </is>
      </c>
      <c r="D227" t="inlineStr">
        <is>
          <t>Formación</t>
        </is>
      </c>
      <c r="E227" t="inlineStr">
        <is>
          <t>Acme Hosting</t>
        </is>
      </c>
      <c r="F227" t="inlineStr">
        <is>
          <t>Generación de noticias</t>
        </is>
      </c>
      <c r="G227" t="inlineStr">
        <is>
          <t>Suscripción mensual</t>
        </is>
      </c>
      <c r="H227" t="inlineStr">
        <is>
          <t>Formación para generación de noticias</t>
        </is>
      </c>
      <c r="I227" s="5" t="n">
        <v>3444</v>
      </c>
      <c r="J227" s="3" t="n">
        <v>0</v>
      </c>
      <c r="K227" s="5">
        <f>ROUND(I227*(1+J227),2)</f>
        <v/>
      </c>
      <c r="L227" t="inlineStr">
        <is>
          <t>Fijo</t>
        </is>
      </c>
      <c r="M227" t="inlineStr">
        <is>
          <t>Tecnología</t>
        </is>
      </c>
      <c r="N227" t="inlineStr">
        <is>
          <t>Portal internacional</t>
        </is>
      </c>
    </row>
    <row r="228">
      <c r="A228" t="inlineStr">
        <is>
          <t>GAS-0227</t>
        </is>
      </c>
      <c r="B228" s="2" t="n">
        <v>45702</v>
      </c>
      <c r="C228" t="inlineStr">
        <is>
          <t>Personal</t>
        </is>
      </c>
      <c r="D228" t="inlineStr">
        <is>
          <t>Formación</t>
        </is>
      </c>
      <c r="E228" t="inlineStr">
        <is>
          <t>CloudPulse</t>
        </is>
      </c>
      <c r="F228" t="inlineStr">
        <is>
          <t>Anuncios prensa</t>
        </is>
      </c>
      <c r="G228" t="inlineStr">
        <is>
          <t>Campaña</t>
        </is>
      </c>
      <c r="H228" t="inlineStr">
        <is>
          <t>Formación para anuncios prensa</t>
        </is>
      </c>
      <c r="I228" s="5" t="n">
        <v>2965.37</v>
      </c>
      <c r="J228" s="3" t="n">
        <v>0.21</v>
      </c>
      <c r="K228" s="5">
        <f>ROUND(I228*(1+J228),2)</f>
        <v/>
      </c>
      <c r="L228" t="inlineStr">
        <is>
          <t>Variable</t>
        </is>
      </c>
      <c r="M228" t="inlineStr">
        <is>
          <t>Comercial</t>
        </is>
      </c>
      <c r="N228" t="inlineStr">
        <is>
          <t>Microsite RRHH</t>
        </is>
      </c>
    </row>
    <row r="229">
      <c r="A229" t="inlineStr">
        <is>
          <t>GAS-0228</t>
        </is>
      </c>
      <c r="B229" s="2" t="n">
        <v>45492</v>
      </c>
      <c r="C229" t="inlineStr">
        <is>
          <t>Operaciones</t>
        </is>
      </c>
      <c r="D229" t="inlineStr">
        <is>
          <t>Revisión editorial</t>
        </is>
      </c>
      <c r="E229" t="inlineStr">
        <is>
          <t>SEO Metrics</t>
        </is>
      </c>
      <c r="F229" t="inlineStr">
        <is>
          <t>Anuncios prensa</t>
        </is>
      </c>
      <c r="G229" t="inlineStr">
        <is>
          <t>Retainer trimestral</t>
        </is>
      </c>
      <c r="H229" t="inlineStr">
        <is>
          <t>Revisión editorial para anuncios prensa</t>
        </is>
      </c>
      <c r="I229" s="5" t="n">
        <v>842.48</v>
      </c>
      <c r="J229" s="3" t="n">
        <v>0.1</v>
      </c>
      <c r="K229" s="5">
        <f>ROUND(I229*(1+J229),2)</f>
        <v/>
      </c>
      <c r="L229" t="inlineStr">
        <is>
          <t>Fijo</t>
        </is>
      </c>
      <c r="M229" t="inlineStr">
        <is>
          <t>Tecnología</t>
        </is>
      </c>
      <c r="N229" t="inlineStr">
        <is>
          <t>Campaña empleo</t>
        </is>
      </c>
    </row>
    <row r="230">
      <c r="A230" t="inlineStr">
        <is>
          <t>GAS-0229</t>
        </is>
      </c>
      <c r="B230" s="2" t="n">
        <v>45332</v>
      </c>
      <c r="C230" t="inlineStr">
        <is>
          <t>Personal</t>
        </is>
      </c>
      <c r="D230" t="inlineStr">
        <is>
          <t>Salarios</t>
        </is>
      </c>
      <c r="E230" t="inlineStr">
        <is>
          <t>CloudPulse</t>
        </is>
      </c>
      <c r="F230" t="inlineStr">
        <is>
          <t>Anuncios prensa</t>
        </is>
      </c>
      <c r="G230" t="inlineStr">
        <is>
          <t>Campaña</t>
        </is>
      </c>
      <c r="H230" t="inlineStr">
        <is>
          <t>Salarios para anuncios prensa</t>
        </is>
      </c>
      <c r="I230" s="5" t="n">
        <v>1284.23</v>
      </c>
      <c r="J230" s="3" t="n">
        <v>0</v>
      </c>
      <c r="K230" s="5">
        <f>ROUND(I230*(1+J230),2)</f>
        <v/>
      </c>
      <c r="L230" t="inlineStr">
        <is>
          <t>Fijo</t>
        </is>
      </c>
      <c r="M230" t="inlineStr">
        <is>
          <t>Marketing</t>
        </is>
      </c>
      <c r="N230" t="inlineStr">
        <is>
          <t>Portal internacional</t>
        </is>
      </c>
    </row>
    <row r="231">
      <c r="A231" t="inlineStr">
        <is>
          <t>GAS-0230</t>
        </is>
      </c>
      <c r="B231" s="2" t="n">
        <v>45686</v>
      </c>
      <c r="C231" t="inlineStr">
        <is>
          <t>Personal</t>
        </is>
      </c>
      <c r="D231" t="inlineStr">
        <is>
          <t>Formación</t>
        </is>
      </c>
      <c r="E231" t="inlineStr">
        <is>
          <t>IntraSys</t>
        </is>
      </c>
      <c r="F231" t="inlineStr">
        <is>
          <t>Mantenimiento intranets</t>
        </is>
      </c>
      <c r="G231" t="inlineStr">
        <is>
          <t>Suscripción mensual</t>
        </is>
      </c>
      <c r="H231" t="inlineStr">
        <is>
          <t>Formación para mantenimiento intranets</t>
        </is>
      </c>
      <c r="I231" s="5" t="n">
        <v>3367.53</v>
      </c>
      <c r="J231" s="3" t="n">
        <v>0.21</v>
      </c>
      <c r="K231" s="5">
        <f>ROUND(I231*(1+J231),2)</f>
        <v/>
      </c>
      <c r="L231" t="inlineStr">
        <is>
          <t>Fijo</t>
        </is>
      </c>
      <c r="M231" t="inlineStr">
        <is>
          <t>Comercial</t>
        </is>
      </c>
      <c r="N231" t="inlineStr">
        <is>
          <t>Portal corporativo</t>
        </is>
      </c>
    </row>
    <row r="232">
      <c r="A232" t="inlineStr">
        <is>
          <t>GAS-0231</t>
        </is>
      </c>
      <c r="B232" s="2" t="n">
        <v>45384</v>
      </c>
      <c r="C232" t="inlineStr">
        <is>
          <t>Marketing</t>
        </is>
      </c>
      <c r="D232" t="inlineStr">
        <is>
          <t>Diseño creativo</t>
        </is>
      </c>
      <c r="E232" t="inlineStr">
        <is>
          <t>LinguaTech</t>
        </is>
      </c>
      <c r="F232" t="inlineStr">
        <is>
          <t>Traducciones</t>
        </is>
      </c>
      <c r="G232" t="inlineStr">
        <is>
          <t>Suscripción mensual</t>
        </is>
      </c>
      <c r="H232" t="inlineStr">
        <is>
          <t>Diseño creativo para traducciones</t>
        </is>
      </c>
      <c r="I232" s="5" t="n">
        <v>1735.41</v>
      </c>
      <c r="J232" s="3" t="n">
        <v>0.21</v>
      </c>
      <c r="K232" s="5">
        <f>ROUND(I232*(1+J232),2)</f>
        <v/>
      </c>
      <c r="L232" t="inlineStr">
        <is>
          <t>Variable</t>
        </is>
      </c>
      <c r="M232" t="inlineStr">
        <is>
          <t>Comercial</t>
        </is>
      </c>
      <c r="N232" t="inlineStr">
        <is>
          <t>Microsite RRHH</t>
        </is>
      </c>
    </row>
    <row r="233">
      <c r="A233" t="inlineStr">
        <is>
          <t>GAS-0232</t>
        </is>
      </c>
      <c r="B233" s="2" t="n">
        <v>45452</v>
      </c>
      <c r="C233" t="inlineStr">
        <is>
          <t>Personal</t>
        </is>
      </c>
      <c r="D233" t="inlineStr">
        <is>
          <t>Salarios</t>
        </is>
      </c>
      <c r="E233" t="inlineStr">
        <is>
          <t>SEO Metrics</t>
        </is>
      </c>
      <c r="F233" t="inlineStr">
        <is>
          <t>Anuncios prensa</t>
        </is>
      </c>
      <c r="G233" t="inlineStr">
        <is>
          <t>Campaña</t>
        </is>
      </c>
      <c r="H233" t="inlineStr">
        <is>
          <t>Salarios para anuncios prensa</t>
        </is>
      </c>
      <c r="I233" s="5" t="n">
        <v>1737.1</v>
      </c>
      <c r="J233" s="3" t="n">
        <v>0.21</v>
      </c>
      <c r="K233" s="5">
        <f>ROUND(I233*(1+J233),2)</f>
        <v/>
      </c>
      <c r="L233" t="inlineStr">
        <is>
          <t>Fijo</t>
        </is>
      </c>
      <c r="M233" t="inlineStr">
        <is>
          <t>Tecnología</t>
        </is>
      </c>
      <c r="N233" t="inlineStr">
        <is>
          <t>Portal corporativo</t>
        </is>
      </c>
    </row>
    <row r="234">
      <c r="A234" t="inlineStr">
        <is>
          <t>GAS-0233</t>
        </is>
      </c>
      <c r="B234" s="2" t="n">
        <v>45373</v>
      </c>
      <c r="C234" t="inlineStr">
        <is>
          <t>Operaciones</t>
        </is>
      </c>
      <c r="D234" t="inlineStr">
        <is>
          <t>Freelancers</t>
        </is>
      </c>
      <c r="E234" t="inlineStr">
        <is>
          <t>NominaPlus</t>
        </is>
      </c>
      <c r="F234" t="inlineStr">
        <is>
          <t>Traducciones</t>
        </is>
      </c>
      <c r="G234" t="inlineStr">
        <is>
          <t>Retainer trimestral</t>
        </is>
      </c>
      <c r="H234" t="inlineStr">
        <is>
          <t>Freelancers para traducciones</t>
        </is>
      </c>
      <c r="I234" s="5" t="n">
        <v>3741.93</v>
      </c>
      <c r="J234" s="3" t="n">
        <v>0</v>
      </c>
      <c r="K234" s="5">
        <f>ROUND(I234*(1+J234),2)</f>
        <v/>
      </c>
      <c r="L234" t="inlineStr">
        <is>
          <t>Fijo</t>
        </is>
      </c>
      <c r="M234" t="inlineStr">
        <is>
          <t>Administración</t>
        </is>
      </c>
      <c r="N234" t="inlineStr">
        <is>
          <t>Portal corporativo</t>
        </is>
      </c>
    </row>
    <row r="235">
      <c r="A235" t="inlineStr">
        <is>
          <t>GAS-0234</t>
        </is>
      </c>
      <c r="B235" s="2" t="n">
        <v>45362</v>
      </c>
      <c r="C235" t="inlineStr">
        <is>
          <t>Tecnología</t>
        </is>
      </c>
      <c r="D235" t="inlineStr">
        <is>
          <t>Monitorización</t>
        </is>
      </c>
      <c r="E235" t="inlineStr">
        <is>
          <t>NoticiasPro</t>
        </is>
      </c>
      <c r="F235" t="inlineStr">
        <is>
          <t>Anuncios TV</t>
        </is>
      </c>
      <c r="G235" t="inlineStr">
        <is>
          <t>Suscripción mensual</t>
        </is>
      </c>
      <c r="H235" t="inlineStr">
        <is>
          <t>Monitorización para anuncios tv</t>
        </is>
      </c>
      <c r="I235" s="5" t="n">
        <v>581.83</v>
      </c>
      <c r="J235" s="3" t="n">
        <v>0.21</v>
      </c>
      <c r="K235" s="5">
        <f>ROUND(I235*(1+J235),2)</f>
        <v/>
      </c>
      <c r="L235" t="inlineStr">
        <is>
          <t>Variable</t>
        </is>
      </c>
      <c r="M235" t="inlineStr">
        <is>
          <t>Tecnología</t>
        </is>
      </c>
      <c r="N235" t="inlineStr">
        <is>
          <t>Intranet operaciones</t>
        </is>
      </c>
    </row>
    <row r="236">
      <c r="A236" t="inlineStr">
        <is>
          <t>GAS-0235</t>
        </is>
      </c>
      <c r="B236" s="2" t="n">
        <v>45496</v>
      </c>
      <c r="C236" t="inlineStr">
        <is>
          <t>Personal</t>
        </is>
      </c>
      <c r="D236" t="inlineStr">
        <is>
          <t>Salarios</t>
        </is>
      </c>
      <c r="E236" t="inlineStr">
        <is>
          <t>NoticiasPro</t>
        </is>
      </c>
      <c r="F236" t="inlineStr">
        <is>
          <t>Anuncios RRHH</t>
        </is>
      </c>
      <c r="G236" t="inlineStr">
        <is>
          <t>Retainer trimestral</t>
        </is>
      </c>
      <c r="H236" t="inlineStr">
        <is>
          <t>Salarios para anuncios rrhh</t>
        </is>
      </c>
      <c r="I236" s="5" t="n">
        <v>6369.01</v>
      </c>
      <c r="J236" s="3" t="n">
        <v>0.21</v>
      </c>
      <c r="K236" s="5">
        <f>ROUND(I236*(1+J236),2)</f>
        <v/>
      </c>
      <c r="L236" t="inlineStr">
        <is>
          <t>Fijo</t>
        </is>
      </c>
      <c r="M236" t="inlineStr">
        <is>
          <t>Tecnología</t>
        </is>
      </c>
      <c r="N236" t="inlineStr">
        <is>
          <t>Microsite RRHH</t>
        </is>
      </c>
    </row>
    <row r="237">
      <c r="A237" t="inlineStr">
        <is>
          <t>GAS-0236</t>
        </is>
      </c>
      <c r="B237" s="2" t="n">
        <v>45597</v>
      </c>
      <c r="C237" t="inlineStr">
        <is>
          <t>Personal</t>
        </is>
      </c>
      <c r="D237" t="inlineStr">
        <is>
          <t>Formación</t>
        </is>
      </c>
      <c r="E237" t="inlineStr">
        <is>
          <t>Redacción Global</t>
        </is>
      </c>
      <c r="F237" t="inlineStr">
        <is>
          <t>Generación de noticias</t>
        </is>
      </c>
      <c r="G237" t="inlineStr">
        <is>
          <t>Retainer trimestral</t>
        </is>
      </c>
      <c r="H237" t="inlineStr">
        <is>
          <t>Formación para generación de noticias</t>
        </is>
      </c>
      <c r="I237" s="5" t="n">
        <v>2409.27</v>
      </c>
      <c r="J237" s="3" t="n">
        <v>0.21</v>
      </c>
      <c r="K237" s="5">
        <f>ROUND(I237*(1+J237),2)</f>
        <v/>
      </c>
      <c r="L237" t="inlineStr">
        <is>
          <t>Fijo</t>
        </is>
      </c>
      <c r="M237" t="inlineStr">
        <is>
          <t>Administración</t>
        </is>
      </c>
      <c r="N237" t="inlineStr">
        <is>
          <t>Microsite RRHH</t>
        </is>
      </c>
    </row>
    <row r="238">
      <c r="A238" t="inlineStr">
        <is>
          <t>GAS-0237</t>
        </is>
      </c>
      <c r="B238" s="2" t="n">
        <v>45553</v>
      </c>
      <c r="C238" t="inlineStr">
        <is>
          <t>Tecnología</t>
        </is>
      </c>
      <c r="D238" t="inlineStr">
        <is>
          <t>Monitorización</t>
        </is>
      </c>
      <c r="E238" t="inlineStr">
        <is>
          <t>IntraSys</t>
        </is>
      </c>
      <c r="F238" t="inlineStr">
        <is>
          <t>Anuncios RRHH</t>
        </is>
      </c>
      <c r="G238" t="inlineStr">
        <is>
          <t>Soporte anual</t>
        </is>
      </c>
      <c r="H238" t="inlineStr">
        <is>
          <t>Monitorización para anuncios rrhh</t>
        </is>
      </c>
      <c r="I238" s="5" t="n">
        <v>1547.86</v>
      </c>
      <c r="J238" s="3" t="n">
        <v>0.21</v>
      </c>
      <c r="K238" s="5">
        <f>ROUND(I238*(1+J238),2)</f>
        <v/>
      </c>
      <c r="L238" t="inlineStr">
        <is>
          <t>Variable</t>
        </is>
      </c>
      <c r="M238" t="inlineStr">
        <is>
          <t>Administración</t>
        </is>
      </c>
      <c r="N238" t="inlineStr">
        <is>
          <t>Portal internacional</t>
        </is>
      </c>
    </row>
    <row r="239">
      <c r="A239" t="inlineStr">
        <is>
          <t>GAS-0238</t>
        </is>
      </c>
      <c r="B239" s="2" t="n">
        <v>45482</v>
      </c>
      <c r="C239" t="inlineStr">
        <is>
          <t>Tecnología</t>
        </is>
      </c>
      <c r="D239" t="inlineStr">
        <is>
          <t>Hosting</t>
        </is>
      </c>
      <c r="E239" t="inlineStr">
        <is>
          <t>AdVision</t>
        </is>
      </c>
      <c r="F239" t="inlineStr">
        <is>
          <t>Publicación de noticias</t>
        </is>
      </c>
      <c r="G239" t="inlineStr">
        <is>
          <t>Proyecto puntual</t>
        </is>
      </c>
      <c r="H239" t="inlineStr">
        <is>
          <t>Hosting para publicación de noticias</t>
        </is>
      </c>
      <c r="I239" s="5" t="n">
        <v>1076.18</v>
      </c>
      <c r="J239" s="3" t="n">
        <v>0.21</v>
      </c>
      <c r="K239" s="5">
        <f>ROUND(I239*(1+J239),2)</f>
        <v/>
      </c>
      <c r="L239" t="inlineStr">
        <is>
          <t>Fijo</t>
        </is>
      </c>
      <c r="M239" t="inlineStr">
        <is>
          <t>Operaciones</t>
        </is>
      </c>
      <c r="N239" t="inlineStr">
        <is>
          <t>Portal internacional</t>
        </is>
      </c>
    </row>
    <row r="240">
      <c r="A240" t="inlineStr">
        <is>
          <t>GAS-0239</t>
        </is>
      </c>
      <c r="B240" s="2" t="n">
        <v>45600</v>
      </c>
      <c r="C240" t="inlineStr">
        <is>
          <t>Marketing</t>
        </is>
      </c>
      <c r="D240" t="inlineStr">
        <is>
          <t>Ads prensa local</t>
        </is>
      </c>
      <c r="E240" t="inlineStr">
        <is>
          <t>NoticiasPro</t>
        </is>
      </c>
      <c r="F240" t="inlineStr">
        <is>
          <t>Mantenimiento intranets</t>
        </is>
      </c>
      <c r="G240" t="inlineStr">
        <is>
          <t>Soporte anual</t>
        </is>
      </c>
      <c r="H240" t="inlineStr">
        <is>
          <t>Ads prensa local para mantenimiento intranets</t>
        </is>
      </c>
      <c r="I240" s="5" t="n">
        <v>10815.3</v>
      </c>
      <c r="J240" s="3" t="n">
        <v>0.21</v>
      </c>
      <c r="K240" s="5">
        <f>ROUND(I240*(1+J240),2)</f>
        <v/>
      </c>
      <c r="L240" t="inlineStr">
        <is>
          <t>Fijo</t>
        </is>
      </c>
      <c r="M240" t="inlineStr">
        <is>
          <t>Administración</t>
        </is>
      </c>
      <c r="N240" t="inlineStr">
        <is>
          <t>Centro de prensa</t>
        </is>
      </c>
    </row>
    <row r="241">
      <c r="A241" t="inlineStr">
        <is>
          <t>GAS-0240</t>
        </is>
      </c>
      <c r="B241" s="2" t="n">
        <v>45544</v>
      </c>
      <c r="C241" t="inlineStr">
        <is>
          <t>Marketing</t>
        </is>
      </c>
      <c r="D241" t="inlineStr">
        <is>
          <t>Ads LinkedIn</t>
        </is>
      </c>
      <c r="E241" t="inlineStr">
        <is>
          <t>Legal Iberia</t>
        </is>
      </c>
      <c r="F241" t="inlineStr">
        <is>
          <t>Anuncios prensa</t>
        </is>
      </c>
      <c r="G241" t="inlineStr">
        <is>
          <t>Suscripción mensual</t>
        </is>
      </c>
      <c r="H241" t="inlineStr">
        <is>
          <t>Ads LinkedIn para anuncios prensa</t>
        </is>
      </c>
      <c r="I241" s="5" t="n">
        <v>9816.719999999999</v>
      </c>
      <c r="J241" s="3" t="n">
        <v>0.21</v>
      </c>
      <c r="K241" s="5">
        <f>ROUND(I241*(1+J241),2)</f>
        <v/>
      </c>
      <c r="L241" t="inlineStr">
        <is>
          <t>Variable</t>
        </is>
      </c>
      <c r="M241" t="inlineStr">
        <is>
          <t>Operaciones</t>
        </is>
      </c>
      <c r="N241" t="inlineStr">
        <is>
          <t>Intranet comercial</t>
        </is>
      </c>
    </row>
    <row r="242">
      <c r="A242" t="inlineStr">
        <is>
          <t>GAS-0241</t>
        </is>
      </c>
      <c r="B242" s="2" t="n">
        <v>45586</v>
      </c>
      <c r="C242" t="inlineStr">
        <is>
          <t>Tecnología</t>
        </is>
      </c>
      <c r="D242" t="inlineStr">
        <is>
          <t>Monitorización</t>
        </is>
      </c>
      <c r="E242" t="inlineStr">
        <is>
          <t>Acme Hosting</t>
        </is>
      </c>
      <c r="F242" t="inlineStr">
        <is>
          <t>Anuncios RRHH</t>
        </is>
      </c>
      <c r="G242" t="inlineStr">
        <is>
          <t>Campaña</t>
        </is>
      </c>
      <c r="H242" t="inlineStr">
        <is>
          <t>Monitorización para anuncios rrhh</t>
        </is>
      </c>
      <c r="I242" s="5" t="n">
        <v>628.5</v>
      </c>
      <c r="J242" s="3" t="n">
        <v>0.21</v>
      </c>
      <c r="K242" s="5">
        <f>ROUND(I242*(1+J242),2)</f>
        <v/>
      </c>
      <c r="L242" t="inlineStr">
        <is>
          <t>Fijo</t>
        </is>
      </c>
      <c r="M242" t="inlineStr">
        <is>
          <t>Marketing</t>
        </is>
      </c>
      <c r="N242" t="inlineStr">
        <is>
          <t>Portal corporativo</t>
        </is>
      </c>
    </row>
    <row r="243">
      <c r="A243" t="inlineStr">
        <is>
          <t>GAS-0242</t>
        </is>
      </c>
      <c r="B243" s="2" t="n">
        <v>45432</v>
      </c>
      <c r="C243" t="inlineStr">
        <is>
          <t>Operaciones</t>
        </is>
      </c>
      <c r="D243" t="inlineStr">
        <is>
          <t>Freelancers</t>
        </is>
      </c>
      <c r="E243" t="inlineStr">
        <is>
          <t>AdVision</t>
        </is>
      </c>
      <c r="F243" t="inlineStr">
        <is>
          <t>Anuncios RRHH</t>
        </is>
      </c>
      <c r="G243" t="inlineStr">
        <is>
          <t>Retainer trimestral</t>
        </is>
      </c>
      <c r="H243" t="inlineStr">
        <is>
          <t>Freelancers para anuncios rrhh</t>
        </is>
      </c>
      <c r="I243" s="5" t="n">
        <v>4844.7</v>
      </c>
      <c r="J243" s="3" t="n">
        <v>0.21</v>
      </c>
      <c r="K243" s="5">
        <f>ROUND(I243*(1+J243),2)</f>
        <v/>
      </c>
      <c r="L243" t="inlineStr">
        <is>
          <t>Fijo</t>
        </is>
      </c>
      <c r="M243" t="inlineStr">
        <is>
          <t>Administración</t>
        </is>
      </c>
      <c r="N243" t="inlineStr">
        <is>
          <t>Portal internacional</t>
        </is>
      </c>
    </row>
    <row r="244">
      <c r="A244" t="inlineStr">
        <is>
          <t>GAS-0243</t>
        </is>
      </c>
      <c r="B244" s="2" t="n">
        <v>45723</v>
      </c>
      <c r="C244" t="inlineStr">
        <is>
          <t>Tecnología</t>
        </is>
      </c>
      <c r="D244" t="inlineStr">
        <is>
          <t>Hosting</t>
        </is>
      </c>
      <c r="E244" t="inlineStr">
        <is>
          <t>AdVision</t>
        </is>
      </c>
      <c r="F244" t="inlineStr">
        <is>
          <t>Anuncios prensa</t>
        </is>
      </c>
      <c r="G244" t="inlineStr">
        <is>
          <t>Soporte anual</t>
        </is>
      </c>
      <c r="H244" t="inlineStr">
        <is>
          <t>Hosting para anuncios prensa</t>
        </is>
      </c>
      <c r="I244" s="5" t="n">
        <v>2362.8</v>
      </c>
      <c r="J244" s="3" t="n">
        <v>0</v>
      </c>
      <c r="K244" s="5">
        <f>ROUND(I244*(1+J244),2)</f>
        <v/>
      </c>
      <c r="L244" t="inlineStr">
        <is>
          <t>Fijo</t>
        </is>
      </c>
      <c r="M244" t="inlineStr">
        <is>
          <t>Comercial</t>
        </is>
      </c>
      <c r="N244" t="inlineStr">
        <is>
          <t>Portal corporativo</t>
        </is>
      </c>
    </row>
    <row r="245">
      <c r="A245" t="inlineStr">
        <is>
          <t>GAS-0244</t>
        </is>
      </c>
      <c r="B245" s="2" t="n">
        <v>45662</v>
      </c>
      <c r="C245" t="inlineStr">
        <is>
          <t>Operaciones</t>
        </is>
      </c>
      <c r="D245" t="inlineStr">
        <is>
          <t>Revisión editorial</t>
        </is>
      </c>
      <c r="E245" t="inlineStr">
        <is>
          <t>AdVision</t>
        </is>
      </c>
      <c r="F245" t="inlineStr">
        <is>
          <t>Traducciones</t>
        </is>
      </c>
      <c r="G245" t="inlineStr">
        <is>
          <t>Soporte anual</t>
        </is>
      </c>
      <c r="H245" t="inlineStr">
        <is>
          <t>Revisión editorial para traducciones</t>
        </is>
      </c>
      <c r="I245" s="5" t="n">
        <v>1474.1</v>
      </c>
      <c r="J245" s="3" t="n">
        <v>0</v>
      </c>
      <c r="K245" s="5">
        <f>ROUND(I245*(1+J245),2)</f>
        <v/>
      </c>
      <c r="L245" t="inlineStr">
        <is>
          <t>Fijo</t>
        </is>
      </c>
      <c r="M245" t="inlineStr">
        <is>
          <t>Tecnología</t>
        </is>
      </c>
      <c r="N245" t="inlineStr">
        <is>
          <t>Portal corporativo</t>
        </is>
      </c>
    </row>
    <row r="246">
      <c r="A246" t="inlineStr">
        <is>
          <t>GAS-0245</t>
        </is>
      </c>
      <c r="B246" s="2" t="n">
        <v>45362</v>
      </c>
      <c r="C246" t="inlineStr">
        <is>
          <t>Personal</t>
        </is>
      </c>
      <c r="D246" t="inlineStr">
        <is>
          <t>Seguridad Social</t>
        </is>
      </c>
      <c r="E246" t="inlineStr">
        <is>
          <t>CloudPulse</t>
        </is>
      </c>
      <c r="F246" t="inlineStr">
        <is>
          <t>Traducciones</t>
        </is>
      </c>
      <c r="G246" t="inlineStr">
        <is>
          <t>Campaña</t>
        </is>
      </c>
      <c r="H246" t="inlineStr">
        <is>
          <t>Seguridad Social para traducciones</t>
        </is>
      </c>
      <c r="I246" s="5" t="n">
        <v>3125.21</v>
      </c>
      <c r="J246" s="3" t="n">
        <v>0</v>
      </c>
      <c r="K246" s="5">
        <f>ROUND(I246*(1+J246),2)</f>
        <v/>
      </c>
      <c r="L246" t="inlineStr">
        <is>
          <t>Fijo</t>
        </is>
      </c>
      <c r="M246" t="inlineStr">
        <is>
          <t>Tecnología</t>
        </is>
      </c>
      <c r="N246" t="inlineStr">
        <is>
          <t>Sección noticias</t>
        </is>
      </c>
    </row>
    <row r="247">
      <c r="A247" t="inlineStr">
        <is>
          <t>GAS-0246</t>
        </is>
      </c>
      <c r="B247" s="2" t="n">
        <v>45435</v>
      </c>
      <c r="C247" t="inlineStr">
        <is>
          <t>Marketing</t>
        </is>
      </c>
      <c r="D247" t="inlineStr">
        <is>
          <t>Producción TV</t>
        </is>
      </c>
      <c r="E247" t="inlineStr">
        <is>
          <t>AdVision</t>
        </is>
      </c>
      <c r="F247" t="inlineStr">
        <is>
          <t>Anuncios internet</t>
        </is>
      </c>
      <c r="G247" t="inlineStr">
        <is>
          <t>Campaña</t>
        </is>
      </c>
      <c r="H247" t="inlineStr">
        <is>
          <t>Producción TV para anuncios internet</t>
        </is>
      </c>
      <c r="I247" s="5" t="n">
        <v>3114.12</v>
      </c>
      <c r="J247" s="3" t="n">
        <v>0.21</v>
      </c>
      <c r="K247" s="5">
        <f>ROUND(I247*(1+J247),2)</f>
        <v/>
      </c>
      <c r="L247" t="inlineStr">
        <is>
          <t>Fijo</t>
        </is>
      </c>
      <c r="M247" t="inlineStr">
        <is>
          <t>Tecnología</t>
        </is>
      </c>
      <c r="N247" t="inlineStr">
        <is>
          <t>Centro de prensa</t>
        </is>
      </c>
    </row>
    <row r="248">
      <c r="A248" t="inlineStr">
        <is>
          <t>GAS-0247</t>
        </is>
      </c>
      <c r="B248" s="2" t="n">
        <v>45330</v>
      </c>
      <c r="C248" t="inlineStr">
        <is>
          <t>Marketing</t>
        </is>
      </c>
      <c r="D248" t="inlineStr">
        <is>
          <t>Ads prensa local</t>
        </is>
      </c>
      <c r="E248" t="inlineStr">
        <is>
          <t>Legal Iberia</t>
        </is>
      </c>
      <c r="F248" t="inlineStr">
        <is>
          <t>Anuncios TV</t>
        </is>
      </c>
      <c r="G248" t="inlineStr">
        <is>
          <t>Suscripción mensual</t>
        </is>
      </c>
      <c r="H248" t="inlineStr">
        <is>
          <t>Ads prensa local para anuncios tv</t>
        </is>
      </c>
      <c r="I248" s="5" t="n">
        <v>7871.47</v>
      </c>
      <c r="J248" s="3" t="n">
        <v>0.21</v>
      </c>
      <c r="K248" s="5">
        <f>ROUND(I248*(1+J248),2)</f>
        <v/>
      </c>
      <c r="L248" t="inlineStr">
        <is>
          <t>Fijo</t>
        </is>
      </c>
      <c r="M248" t="inlineStr">
        <is>
          <t>Comercial</t>
        </is>
      </c>
      <c r="N248" t="inlineStr">
        <is>
          <t>Intranet operaciones</t>
        </is>
      </c>
    </row>
    <row r="249">
      <c r="A249" t="inlineStr">
        <is>
          <t>GAS-0248</t>
        </is>
      </c>
      <c r="B249" s="2" t="n">
        <v>45681</v>
      </c>
      <c r="C249" t="inlineStr">
        <is>
          <t>Operaciones</t>
        </is>
      </c>
      <c r="D249" t="inlineStr">
        <is>
          <t>Revisión editorial</t>
        </is>
      </c>
      <c r="E249" t="inlineStr">
        <is>
          <t>IntraSys</t>
        </is>
      </c>
      <c r="F249" t="inlineStr">
        <is>
          <t>Anuncios internet</t>
        </is>
      </c>
      <c r="G249" t="inlineStr">
        <is>
          <t>Campaña</t>
        </is>
      </c>
      <c r="H249" t="inlineStr">
        <is>
          <t>Revisión editorial para anuncios internet</t>
        </is>
      </c>
      <c r="I249" s="5" t="n">
        <v>3236.72</v>
      </c>
      <c r="J249" s="3" t="n">
        <v>0.21</v>
      </c>
      <c r="K249" s="5">
        <f>ROUND(I249*(1+J249),2)</f>
        <v/>
      </c>
      <c r="L249" t="inlineStr">
        <is>
          <t>Fijo</t>
        </is>
      </c>
      <c r="M249" t="inlineStr">
        <is>
          <t>Comercial</t>
        </is>
      </c>
      <c r="N249" t="inlineStr">
        <is>
          <t>Campaña empleo</t>
        </is>
      </c>
    </row>
    <row r="250">
      <c r="A250" t="inlineStr">
        <is>
          <t>GAS-0249</t>
        </is>
      </c>
      <c r="B250" s="2" t="n">
        <v>45376</v>
      </c>
      <c r="C250" t="inlineStr">
        <is>
          <t>Operaciones</t>
        </is>
      </c>
      <c r="D250" t="inlineStr">
        <is>
          <t>QA intranet</t>
        </is>
      </c>
      <c r="E250" t="inlineStr">
        <is>
          <t>SEO Metrics</t>
        </is>
      </c>
      <c r="F250" t="inlineStr">
        <is>
          <t>Anuncios internet</t>
        </is>
      </c>
      <c r="G250" t="inlineStr">
        <is>
          <t>Retainer trimestral</t>
        </is>
      </c>
      <c r="H250" t="inlineStr">
        <is>
          <t>QA intranet para anuncios internet</t>
        </is>
      </c>
      <c r="I250" s="5" t="n">
        <v>1249.53</v>
      </c>
      <c r="J250" s="3" t="n">
        <v>0.1</v>
      </c>
      <c r="K250" s="5">
        <f>ROUND(I250*(1+J250),2)</f>
        <v/>
      </c>
      <c r="L250" t="inlineStr">
        <is>
          <t>Fijo</t>
        </is>
      </c>
      <c r="M250" t="inlineStr">
        <is>
          <t>Comercial</t>
        </is>
      </c>
      <c r="N250" t="inlineStr">
        <is>
          <t>Intranet operaciones</t>
        </is>
      </c>
    </row>
    <row r="251">
      <c r="A251" t="inlineStr">
        <is>
          <t>GAS-0250</t>
        </is>
      </c>
      <c r="B251" s="2" t="n">
        <v>45472</v>
      </c>
      <c r="C251" t="inlineStr">
        <is>
          <t>Operaciones</t>
        </is>
      </c>
      <c r="D251" t="inlineStr">
        <is>
          <t>Freelancers</t>
        </is>
      </c>
      <c r="E251" t="inlineStr">
        <is>
          <t>IntraSys</t>
        </is>
      </c>
      <c r="F251" t="inlineStr">
        <is>
          <t>Mantenimiento intranets</t>
        </is>
      </c>
      <c r="G251" t="inlineStr">
        <is>
          <t>Suscripción mensual</t>
        </is>
      </c>
      <c r="H251" t="inlineStr">
        <is>
          <t>Freelancers para mantenimiento intranets</t>
        </is>
      </c>
      <c r="I251" s="5" t="n">
        <v>2936.01</v>
      </c>
      <c r="J251" s="3" t="n">
        <v>0.1</v>
      </c>
      <c r="K251" s="5">
        <f>ROUND(I251*(1+J251),2)</f>
        <v/>
      </c>
      <c r="L251" t="inlineStr">
        <is>
          <t>Fijo</t>
        </is>
      </c>
      <c r="M251" t="inlineStr">
        <is>
          <t>Tecnología</t>
        </is>
      </c>
      <c r="N251" t="inlineStr">
        <is>
          <t>Microsite RRHH</t>
        </is>
      </c>
    </row>
    <row r="252">
      <c r="A252" t="inlineStr">
        <is>
          <t>GAS-0251</t>
        </is>
      </c>
      <c r="B252" s="2" t="n">
        <v>45487</v>
      </c>
      <c r="C252" t="inlineStr">
        <is>
          <t>Personal</t>
        </is>
      </c>
      <c r="D252" t="inlineStr">
        <is>
          <t>Seguridad Social</t>
        </is>
      </c>
      <c r="E252" t="inlineStr">
        <is>
          <t>Redacción Global</t>
        </is>
      </c>
      <c r="F252" t="inlineStr">
        <is>
          <t>Anuncios TV</t>
        </is>
      </c>
      <c r="G252" t="inlineStr">
        <is>
          <t>Campaña</t>
        </is>
      </c>
      <c r="H252" t="inlineStr">
        <is>
          <t>Seguridad Social para anuncios tv</t>
        </is>
      </c>
      <c r="I252" s="5" t="n">
        <v>4345.19</v>
      </c>
      <c r="J252" s="3" t="n">
        <v>0.21</v>
      </c>
      <c r="K252" s="5">
        <f>ROUND(I252*(1+J252),2)</f>
        <v/>
      </c>
      <c r="L252" t="inlineStr">
        <is>
          <t>Variable</t>
        </is>
      </c>
      <c r="M252" t="inlineStr">
        <is>
          <t>Comercial</t>
        </is>
      </c>
      <c r="N252" t="inlineStr">
        <is>
          <t>Microsite RRHH</t>
        </is>
      </c>
    </row>
    <row r="253">
      <c r="A253" t="inlineStr">
        <is>
          <t>GAS-0252</t>
        </is>
      </c>
      <c r="B253" s="2" t="n">
        <v>45348</v>
      </c>
      <c r="C253" t="inlineStr">
        <is>
          <t>Personal</t>
        </is>
      </c>
      <c r="D253" t="inlineStr">
        <is>
          <t>Seguridad Social</t>
        </is>
      </c>
      <c r="E253" t="inlineStr">
        <is>
          <t>NoticiasPro</t>
        </is>
      </c>
      <c r="F253" t="inlineStr">
        <is>
          <t>Anuncios TV</t>
        </is>
      </c>
      <c r="G253" t="inlineStr">
        <is>
          <t>Suscripción mensual</t>
        </is>
      </c>
      <c r="H253" t="inlineStr">
        <is>
          <t>Seguridad Social para anuncios tv</t>
        </is>
      </c>
      <c r="I253" s="5" t="n">
        <v>5634.37</v>
      </c>
      <c r="J253" s="3" t="n">
        <v>0</v>
      </c>
      <c r="K253" s="5">
        <f>ROUND(I253*(1+J253),2)</f>
        <v/>
      </c>
      <c r="L253" t="inlineStr">
        <is>
          <t>Fijo</t>
        </is>
      </c>
      <c r="M253" t="inlineStr">
        <is>
          <t>Administración</t>
        </is>
      </c>
      <c r="N253" t="inlineStr">
        <is>
          <t>Centro de prensa</t>
        </is>
      </c>
    </row>
    <row r="254">
      <c r="A254" t="inlineStr">
        <is>
          <t>GAS-0253</t>
        </is>
      </c>
      <c r="B254" s="2" t="n">
        <v>45404</v>
      </c>
      <c r="C254" t="inlineStr">
        <is>
          <t>Personal</t>
        </is>
      </c>
      <c r="D254" t="inlineStr">
        <is>
          <t>Formación</t>
        </is>
      </c>
      <c r="E254" t="inlineStr">
        <is>
          <t>Redacción Global</t>
        </is>
      </c>
      <c r="F254" t="inlineStr">
        <is>
          <t>Traducciones</t>
        </is>
      </c>
      <c r="G254" t="inlineStr">
        <is>
          <t>Retainer trimestral</t>
        </is>
      </c>
      <c r="H254" t="inlineStr">
        <is>
          <t>Formación para traducciones</t>
        </is>
      </c>
      <c r="I254" s="5" t="n">
        <v>3210.85</v>
      </c>
      <c r="J254" s="3" t="n">
        <v>0.21</v>
      </c>
      <c r="K254" s="5">
        <f>ROUND(I254*(1+J254),2)</f>
        <v/>
      </c>
      <c r="L254" t="inlineStr">
        <is>
          <t>Fijo</t>
        </is>
      </c>
      <c r="M254" t="inlineStr">
        <is>
          <t>Comercial</t>
        </is>
      </c>
      <c r="N254" t="inlineStr">
        <is>
          <t>Campaña empleo</t>
        </is>
      </c>
    </row>
    <row r="255">
      <c r="A255" t="inlineStr">
        <is>
          <t>GAS-0254</t>
        </is>
      </c>
      <c r="B255" s="2" t="n">
        <v>45448</v>
      </c>
      <c r="C255" t="inlineStr">
        <is>
          <t>Personal</t>
        </is>
      </c>
      <c r="D255" t="inlineStr">
        <is>
          <t>Seguridad Social</t>
        </is>
      </c>
      <c r="E255" t="inlineStr">
        <is>
          <t>Redacción Global</t>
        </is>
      </c>
      <c r="F255" t="inlineStr">
        <is>
          <t>Generación de noticias</t>
        </is>
      </c>
      <c r="G255" t="inlineStr">
        <is>
          <t>Proyecto puntual</t>
        </is>
      </c>
      <c r="H255" t="inlineStr">
        <is>
          <t>Seguridad Social para generación de noticias</t>
        </is>
      </c>
      <c r="I255" s="5" t="n">
        <v>6557.34</v>
      </c>
      <c r="J255" s="3" t="n">
        <v>0.21</v>
      </c>
      <c r="K255" s="5">
        <f>ROUND(I255*(1+J255),2)</f>
        <v/>
      </c>
      <c r="L255" t="inlineStr">
        <is>
          <t>Variable</t>
        </is>
      </c>
      <c r="M255" t="inlineStr">
        <is>
          <t>Operaciones</t>
        </is>
      </c>
      <c r="N255" t="inlineStr">
        <is>
          <t>Sección noticias</t>
        </is>
      </c>
    </row>
    <row r="256">
      <c r="A256" t="inlineStr">
        <is>
          <t>GAS-0255</t>
        </is>
      </c>
      <c r="B256" s="2" t="n">
        <v>45743</v>
      </c>
      <c r="C256" t="inlineStr">
        <is>
          <t>Personal</t>
        </is>
      </c>
      <c r="D256" t="inlineStr">
        <is>
          <t>Seguridad Social</t>
        </is>
      </c>
      <c r="E256" t="inlineStr">
        <is>
          <t>LinguaTech</t>
        </is>
      </c>
      <c r="F256" t="inlineStr">
        <is>
          <t>Publicación de noticias</t>
        </is>
      </c>
      <c r="G256" t="inlineStr">
        <is>
          <t>Proyecto puntual</t>
        </is>
      </c>
      <c r="H256" t="inlineStr">
        <is>
          <t>Seguridad Social para publicación de noticias</t>
        </is>
      </c>
      <c r="I256" s="5" t="n">
        <v>8224.370000000001</v>
      </c>
      <c r="J256" s="3" t="n">
        <v>0</v>
      </c>
      <c r="K256" s="5">
        <f>ROUND(I256*(1+J256),2)</f>
        <v/>
      </c>
      <c r="L256" t="inlineStr">
        <is>
          <t>Variable</t>
        </is>
      </c>
      <c r="M256" t="inlineStr">
        <is>
          <t>Marketing</t>
        </is>
      </c>
      <c r="N256" t="inlineStr">
        <is>
          <t>Portal corporativo</t>
        </is>
      </c>
    </row>
    <row r="257">
      <c r="A257" t="inlineStr">
        <is>
          <t>GAS-0256</t>
        </is>
      </c>
      <c r="B257" s="2" t="n">
        <v>45560</v>
      </c>
      <c r="C257" t="inlineStr">
        <is>
          <t>Tecnología</t>
        </is>
      </c>
      <c r="D257" t="inlineStr">
        <is>
          <t>Licencias CMS</t>
        </is>
      </c>
      <c r="E257" t="inlineStr">
        <is>
          <t>NominaPlus</t>
        </is>
      </c>
      <c r="F257" t="inlineStr">
        <is>
          <t>Anuncios internet</t>
        </is>
      </c>
      <c r="G257" t="inlineStr">
        <is>
          <t>Proyecto puntual</t>
        </is>
      </c>
      <c r="H257" t="inlineStr">
        <is>
          <t>Licencias CMS para anuncios internet</t>
        </is>
      </c>
      <c r="I257" s="5" t="n">
        <v>1979.91</v>
      </c>
      <c r="J257" s="3" t="n">
        <v>0.21</v>
      </c>
      <c r="K257" s="5">
        <f>ROUND(I257*(1+J257),2)</f>
        <v/>
      </c>
      <c r="L257" t="inlineStr">
        <is>
          <t>Fijo</t>
        </is>
      </c>
      <c r="M257" t="inlineStr">
        <is>
          <t>Operaciones</t>
        </is>
      </c>
      <c r="N257" t="inlineStr">
        <is>
          <t>Centro de prensa</t>
        </is>
      </c>
    </row>
    <row r="258">
      <c r="A258" t="inlineStr">
        <is>
          <t>GAS-0257</t>
        </is>
      </c>
      <c r="B258" s="2" t="n">
        <v>45526</v>
      </c>
      <c r="C258" t="inlineStr">
        <is>
          <t>Operaciones</t>
        </is>
      </c>
      <c r="D258" t="inlineStr">
        <is>
          <t>Subtitulación</t>
        </is>
      </c>
      <c r="E258" t="inlineStr">
        <is>
          <t>Acme Hosting</t>
        </is>
      </c>
      <c r="F258" t="inlineStr">
        <is>
          <t>Anuncios internet</t>
        </is>
      </c>
      <c r="G258" t="inlineStr">
        <is>
          <t>Retainer trimestral</t>
        </is>
      </c>
      <c r="H258" t="inlineStr">
        <is>
          <t>Subtitulación para anuncios internet</t>
        </is>
      </c>
      <c r="I258" s="5" t="n">
        <v>4030.94</v>
      </c>
      <c r="J258" s="3" t="n">
        <v>0.21</v>
      </c>
      <c r="K258" s="5">
        <f>ROUND(I258*(1+J258),2)</f>
        <v/>
      </c>
      <c r="L258" t="inlineStr">
        <is>
          <t>Variable</t>
        </is>
      </c>
      <c r="M258" t="inlineStr">
        <is>
          <t>Administración</t>
        </is>
      </c>
      <c r="N258" t="inlineStr">
        <is>
          <t>Intranet operaciones</t>
        </is>
      </c>
    </row>
    <row r="259">
      <c r="A259" t="inlineStr">
        <is>
          <t>GAS-0258</t>
        </is>
      </c>
      <c r="B259" s="2" t="n">
        <v>45364</v>
      </c>
      <c r="C259" t="inlineStr">
        <is>
          <t>Personal</t>
        </is>
      </c>
      <c r="D259" t="inlineStr">
        <is>
          <t>Formación</t>
        </is>
      </c>
      <c r="E259" t="inlineStr">
        <is>
          <t>AdVision</t>
        </is>
      </c>
      <c r="F259" t="inlineStr">
        <is>
          <t>Anuncios TV</t>
        </is>
      </c>
      <c r="G259" t="inlineStr">
        <is>
          <t>Campaña</t>
        </is>
      </c>
      <c r="H259" t="inlineStr">
        <is>
          <t>Formación para anuncios tv</t>
        </is>
      </c>
      <c r="I259" s="5" t="n">
        <v>6515.97</v>
      </c>
      <c r="J259" s="3" t="n">
        <v>0</v>
      </c>
      <c r="K259" s="5">
        <f>ROUND(I259*(1+J259),2)</f>
        <v/>
      </c>
      <c r="L259" t="inlineStr">
        <is>
          <t>Fijo</t>
        </is>
      </c>
      <c r="M259" t="inlineStr">
        <is>
          <t>Administración</t>
        </is>
      </c>
      <c r="N259" t="inlineStr">
        <is>
          <t>Microsite RRHH</t>
        </is>
      </c>
    </row>
    <row r="260">
      <c r="A260" t="inlineStr">
        <is>
          <t>GAS-0259</t>
        </is>
      </c>
      <c r="B260" s="2" t="n">
        <v>45570</v>
      </c>
      <c r="C260" t="inlineStr">
        <is>
          <t>Tecnología</t>
        </is>
      </c>
      <c r="D260" t="inlineStr">
        <is>
          <t>Hosting</t>
        </is>
      </c>
      <c r="E260" t="inlineStr">
        <is>
          <t>Legal Iberia</t>
        </is>
      </c>
      <c r="F260" t="inlineStr">
        <is>
          <t>Mantenimiento intranets</t>
        </is>
      </c>
      <c r="G260" t="inlineStr">
        <is>
          <t>Soporte anual</t>
        </is>
      </c>
      <c r="H260" t="inlineStr">
        <is>
          <t>Hosting para mantenimiento intranets</t>
        </is>
      </c>
      <c r="I260" s="5" t="n">
        <v>956.45</v>
      </c>
      <c r="J260" s="3" t="n">
        <v>0.21</v>
      </c>
      <c r="K260" s="5">
        <f>ROUND(I260*(1+J260),2)</f>
        <v/>
      </c>
      <c r="L260" t="inlineStr">
        <is>
          <t>Variable</t>
        </is>
      </c>
      <c r="M260" t="inlineStr">
        <is>
          <t>Tecnología</t>
        </is>
      </c>
      <c r="N260" t="inlineStr">
        <is>
          <t>Portal internacional</t>
        </is>
      </c>
    </row>
    <row r="261">
      <c r="A261" t="inlineStr">
        <is>
          <t>GAS-0260</t>
        </is>
      </c>
      <c r="B261" s="2" t="n">
        <v>45513</v>
      </c>
      <c r="C261" t="inlineStr">
        <is>
          <t>Tecnología</t>
        </is>
      </c>
      <c r="D261" t="inlineStr">
        <is>
          <t>Software traducción</t>
        </is>
      </c>
      <c r="E261" t="inlineStr">
        <is>
          <t>Legal Iberia</t>
        </is>
      </c>
      <c r="F261" t="inlineStr">
        <is>
          <t>Generación de noticias</t>
        </is>
      </c>
      <c r="G261" t="inlineStr">
        <is>
          <t>Soporte anual</t>
        </is>
      </c>
      <c r="H261" t="inlineStr">
        <is>
          <t>Software traducción para generación de noticias</t>
        </is>
      </c>
      <c r="I261" s="5" t="n">
        <v>175.35</v>
      </c>
      <c r="J261" s="3" t="n">
        <v>0.21</v>
      </c>
      <c r="K261" s="5">
        <f>ROUND(I261*(1+J261),2)</f>
        <v/>
      </c>
      <c r="L261" t="inlineStr">
        <is>
          <t>Variable</t>
        </is>
      </c>
      <c r="M261" t="inlineStr">
        <is>
          <t>Operaciones</t>
        </is>
      </c>
      <c r="N261" t="inlineStr">
        <is>
          <t>Portal corporativo</t>
        </is>
      </c>
    </row>
    <row r="262">
      <c r="A262" t="inlineStr">
        <is>
          <t>GAS-0261</t>
        </is>
      </c>
      <c r="B262" s="2" t="n">
        <v>45541</v>
      </c>
      <c r="C262" t="inlineStr">
        <is>
          <t>Tecnología</t>
        </is>
      </c>
      <c r="D262" t="inlineStr">
        <is>
          <t>Licencias CMS</t>
        </is>
      </c>
      <c r="E262" t="inlineStr">
        <is>
          <t>IntraSys</t>
        </is>
      </c>
      <c r="F262" t="inlineStr">
        <is>
          <t>Anuncios internet</t>
        </is>
      </c>
      <c r="G262" t="inlineStr">
        <is>
          <t>Suscripción mensual</t>
        </is>
      </c>
      <c r="H262" t="inlineStr">
        <is>
          <t>Licencias CMS para anuncios internet</t>
        </is>
      </c>
      <c r="I262" s="5" t="n">
        <v>1293.79</v>
      </c>
      <c r="J262" s="3" t="n">
        <v>0.21</v>
      </c>
      <c r="K262" s="5">
        <f>ROUND(I262*(1+J262),2)</f>
        <v/>
      </c>
      <c r="L262" t="inlineStr">
        <is>
          <t>Fijo</t>
        </is>
      </c>
      <c r="M262" t="inlineStr">
        <is>
          <t>Marketing</t>
        </is>
      </c>
      <c r="N262" t="inlineStr">
        <is>
          <t>Portal corporativo</t>
        </is>
      </c>
    </row>
    <row r="263">
      <c r="A263" t="inlineStr">
        <is>
          <t>GAS-0262</t>
        </is>
      </c>
      <c r="B263" s="2" t="n">
        <v>45420</v>
      </c>
      <c r="C263" t="inlineStr">
        <is>
          <t>Personal</t>
        </is>
      </c>
      <c r="D263" t="inlineStr">
        <is>
          <t>Formación</t>
        </is>
      </c>
      <c r="E263" t="inlineStr">
        <is>
          <t>MediaCloud</t>
        </is>
      </c>
      <c r="F263" t="inlineStr">
        <is>
          <t>Traducciones</t>
        </is>
      </c>
      <c r="G263" t="inlineStr">
        <is>
          <t>Retainer trimestral</t>
        </is>
      </c>
      <c r="H263" t="inlineStr">
        <is>
          <t>Formación para traducciones</t>
        </is>
      </c>
      <c r="I263" s="5" t="n">
        <v>1588.31</v>
      </c>
      <c r="J263" s="3" t="n">
        <v>0.21</v>
      </c>
      <c r="K263" s="5">
        <f>ROUND(I263*(1+J263),2)</f>
        <v/>
      </c>
      <c r="L263" t="inlineStr">
        <is>
          <t>Fijo</t>
        </is>
      </c>
      <c r="M263" t="inlineStr">
        <is>
          <t>Operaciones</t>
        </is>
      </c>
      <c r="N263" t="inlineStr">
        <is>
          <t>Centro de prensa</t>
        </is>
      </c>
    </row>
    <row r="264">
      <c r="A264" t="inlineStr">
        <is>
          <t>GAS-0263</t>
        </is>
      </c>
      <c r="B264" s="2" t="n">
        <v>45419</v>
      </c>
      <c r="C264" t="inlineStr">
        <is>
          <t>Personal</t>
        </is>
      </c>
      <c r="D264" t="inlineStr">
        <is>
          <t>Formación</t>
        </is>
      </c>
      <c r="E264" t="inlineStr">
        <is>
          <t>SEO Metrics</t>
        </is>
      </c>
      <c r="F264" t="inlineStr">
        <is>
          <t>Mantenimiento intranets</t>
        </is>
      </c>
      <c r="G264" t="inlineStr">
        <is>
          <t>Campaña</t>
        </is>
      </c>
      <c r="H264" t="inlineStr">
        <is>
          <t>Formación para mantenimiento intranets</t>
        </is>
      </c>
      <c r="I264" s="5" t="n">
        <v>4353.97</v>
      </c>
      <c r="J264" s="3" t="n">
        <v>0.21</v>
      </c>
      <c r="K264" s="5">
        <f>ROUND(I264*(1+J264),2)</f>
        <v/>
      </c>
      <c r="L264" t="inlineStr">
        <is>
          <t>Variable</t>
        </is>
      </c>
      <c r="M264" t="inlineStr">
        <is>
          <t>Operaciones</t>
        </is>
      </c>
      <c r="N264" t="inlineStr">
        <is>
          <t>Centro de prensa</t>
        </is>
      </c>
    </row>
    <row r="265">
      <c r="A265" t="inlineStr">
        <is>
          <t>GAS-0264</t>
        </is>
      </c>
      <c r="B265" s="2" t="n">
        <v>45394</v>
      </c>
      <c r="C265" t="inlineStr">
        <is>
          <t>Operaciones</t>
        </is>
      </c>
      <c r="D265" t="inlineStr">
        <is>
          <t>Subtitulación</t>
        </is>
      </c>
      <c r="E265" t="inlineStr">
        <is>
          <t>IntraSys</t>
        </is>
      </c>
      <c r="F265" t="inlineStr">
        <is>
          <t>Publicación de noticias</t>
        </is>
      </c>
      <c r="G265" t="inlineStr">
        <is>
          <t>Proyecto puntual</t>
        </is>
      </c>
      <c r="H265" t="inlineStr">
        <is>
          <t>Subtitulación para publicación de noticias</t>
        </is>
      </c>
      <c r="I265" s="5" t="n">
        <v>3532.28</v>
      </c>
      <c r="J265" s="3" t="n">
        <v>0.21</v>
      </c>
      <c r="K265" s="5">
        <f>ROUND(I265*(1+J265),2)</f>
        <v/>
      </c>
      <c r="L265" t="inlineStr">
        <is>
          <t>Fijo</t>
        </is>
      </c>
      <c r="M265" t="inlineStr">
        <is>
          <t>Tecnología</t>
        </is>
      </c>
      <c r="N265" t="inlineStr">
        <is>
          <t>Centro de prensa</t>
        </is>
      </c>
    </row>
    <row r="266">
      <c r="A266" t="inlineStr">
        <is>
          <t>GAS-0265</t>
        </is>
      </c>
      <c r="B266" s="2" t="n">
        <v>45518</v>
      </c>
      <c r="C266" t="inlineStr">
        <is>
          <t>Personal</t>
        </is>
      </c>
      <c r="D266" t="inlineStr">
        <is>
          <t>Formación</t>
        </is>
      </c>
      <c r="E266" t="inlineStr">
        <is>
          <t>Redacción Global</t>
        </is>
      </c>
      <c r="F266" t="inlineStr">
        <is>
          <t>Anuncios internet</t>
        </is>
      </c>
      <c r="G266" t="inlineStr">
        <is>
          <t>Retainer trimestral</t>
        </is>
      </c>
      <c r="H266" t="inlineStr">
        <is>
          <t>Formación para anuncios internet</t>
        </is>
      </c>
      <c r="I266" s="5" t="n">
        <v>5184.56</v>
      </c>
      <c r="J266" s="3" t="n">
        <v>0.1</v>
      </c>
      <c r="K266" s="5">
        <f>ROUND(I266*(1+J266),2)</f>
        <v/>
      </c>
      <c r="L266" t="inlineStr">
        <is>
          <t>Variable</t>
        </is>
      </c>
      <c r="M266" t="inlineStr">
        <is>
          <t>Marketing</t>
        </is>
      </c>
      <c r="N266" t="inlineStr">
        <is>
          <t>Portal internacional</t>
        </is>
      </c>
    </row>
    <row r="267">
      <c r="A267" t="inlineStr">
        <is>
          <t>GAS-0266</t>
        </is>
      </c>
      <c r="B267" s="2" t="n">
        <v>45363</v>
      </c>
      <c r="C267" t="inlineStr">
        <is>
          <t>Tecnología</t>
        </is>
      </c>
      <c r="D267" t="inlineStr">
        <is>
          <t>Software traducción</t>
        </is>
      </c>
      <c r="E267" t="inlineStr">
        <is>
          <t>CloudPulse</t>
        </is>
      </c>
      <c r="F267" t="inlineStr">
        <is>
          <t>Anuncios prensa</t>
        </is>
      </c>
      <c r="G267" t="inlineStr">
        <is>
          <t>Retainer trimestral</t>
        </is>
      </c>
      <c r="H267" t="inlineStr">
        <is>
          <t>Software traducción para anuncios prensa</t>
        </is>
      </c>
      <c r="I267" s="5" t="n">
        <v>2197.14</v>
      </c>
      <c r="J267" s="3" t="n">
        <v>0.21</v>
      </c>
      <c r="K267" s="5">
        <f>ROUND(I267*(1+J267),2)</f>
        <v/>
      </c>
      <c r="L267" t="inlineStr">
        <is>
          <t>Variable</t>
        </is>
      </c>
      <c r="M267" t="inlineStr">
        <is>
          <t>Comercial</t>
        </is>
      </c>
      <c r="N267" t="inlineStr">
        <is>
          <t>Centro de prensa</t>
        </is>
      </c>
    </row>
    <row r="268">
      <c r="A268" t="inlineStr">
        <is>
          <t>GAS-0267</t>
        </is>
      </c>
      <c r="B268" s="2" t="n">
        <v>45319</v>
      </c>
      <c r="C268" t="inlineStr">
        <is>
          <t>Personal</t>
        </is>
      </c>
      <c r="D268" t="inlineStr">
        <is>
          <t>Seguridad Social</t>
        </is>
      </c>
      <c r="E268" t="inlineStr">
        <is>
          <t>LinguaTech</t>
        </is>
      </c>
      <c r="F268" t="inlineStr">
        <is>
          <t>Publicación de noticias</t>
        </is>
      </c>
      <c r="G268" t="inlineStr">
        <is>
          <t>Suscripción mensual</t>
        </is>
      </c>
      <c r="H268" t="inlineStr">
        <is>
          <t>Seguridad Social para publicación de noticias</t>
        </is>
      </c>
      <c r="I268" s="5" t="n">
        <v>4141.48</v>
      </c>
      <c r="J268" s="3" t="n">
        <v>0.21</v>
      </c>
      <c r="K268" s="5">
        <f>ROUND(I268*(1+J268),2)</f>
        <v/>
      </c>
      <c r="L268" t="inlineStr">
        <is>
          <t>Fijo</t>
        </is>
      </c>
      <c r="M268" t="inlineStr">
        <is>
          <t>Tecnología</t>
        </is>
      </c>
      <c r="N268" t="inlineStr">
        <is>
          <t>Intranet comercial</t>
        </is>
      </c>
    </row>
    <row r="269">
      <c r="A269" t="inlineStr">
        <is>
          <t>GAS-0268</t>
        </is>
      </c>
      <c r="B269" s="2" t="n">
        <v>45651</v>
      </c>
      <c r="C269" t="inlineStr">
        <is>
          <t>Operaciones</t>
        </is>
      </c>
      <c r="D269" t="inlineStr">
        <is>
          <t>QA intranet</t>
        </is>
      </c>
      <c r="E269" t="inlineStr">
        <is>
          <t>NoticiasPro</t>
        </is>
      </c>
      <c r="F269" t="inlineStr">
        <is>
          <t>Anuncios RRHH</t>
        </is>
      </c>
      <c r="G269" t="inlineStr">
        <is>
          <t>Soporte anual</t>
        </is>
      </c>
      <c r="H269" t="inlineStr">
        <is>
          <t>QA intranet para anuncios rrhh</t>
        </is>
      </c>
      <c r="I269" s="5" t="n">
        <v>3138.3</v>
      </c>
      <c r="J269" s="3" t="n">
        <v>0.21</v>
      </c>
      <c r="K269" s="5">
        <f>ROUND(I269*(1+J269),2)</f>
        <v/>
      </c>
      <c r="L269" t="inlineStr">
        <is>
          <t>Variable</t>
        </is>
      </c>
      <c r="M269" t="inlineStr">
        <is>
          <t>Comercial</t>
        </is>
      </c>
      <c r="N269" t="inlineStr">
        <is>
          <t>Campaña empleo</t>
        </is>
      </c>
    </row>
    <row r="270">
      <c r="A270" t="inlineStr">
        <is>
          <t>GAS-0269</t>
        </is>
      </c>
      <c r="B270" s="2" t="n">
        <v>45394</v>
      </c>
      <c r="C270" t="inlineStr">
        <is>
          <t>Operaciones</t>
        </is>
      </c>
      <c r="D270" t="inlineStr">
        <is>
          <t>Revisión editorial</t>
        </is>
      </c>
      <c r="E270" t="inlineStr">
        <is>
          <t>LinguaTech</t>
        </is>
      </c>
      <c r="F270" t="inlineStr">
        <is>
          <t>Generación de noticias</t>
        </is>
      </c>
      <c r="G270" t="inlineStr">
        <is>
          <t>Suscripción mensual</t>
        </is>
      </c>
      <c r="H270" t="inlineStr">
        <is>
          <t>Revisión editorial para generación de noticias</t>
        </is>
      </c>
      <c r="I270" s="5" t="n">
        <v>4862.86</v>
      </c>
      <c r="J270" s="3" t="n">
        <v>0</v>
      </c>
      <c r="K270" s="5">
        <f>ROUND(I270*(1+J270),2)</f>
        <v/>
      </c>
      <c r="L270" t="inlineStr">
        <is>
          <t>Fijo</t>
        </is>
      </c>
      <c r="M270" t="inlineStr">
        <is>
          <t>Administración</t>
        </is>
      </c>
      <c r="N270" t="inlineStr">
        <is>
          <t>Intranet comercial</t>
        </is>
      </c>
    </row>
    <row r="271">
      <c r="A271" t="inlineStr">
        <is>
          <t>GAS-0270</t>
        </is>
      </c>
      <c r="B271" s="2" t="n">
        <v>45445</v>
      </c>
      <c r="C271" t="inlineStr">
        <is>
          <t>Tecnología</t>
        </is>
      </c>
      <c r="D271" t="inlineStr">
        <is>
          <t>Licencias CMS</t>
        </is>
      </c>
      <c r="E271" t="inlineStr">
        <is>
          <t>TVSpot Studio</t>
        </is>
      </c>
      <c r="F271" t="inlineStr">
        <is>
          <t>Mantenimiento intranets</t>
        </is>
      </c>
      <c r="G271" t="inlineStr">
        <is>
          <t>Campaña</t>
        </is>
      </c>
      <c r="H271" t="inlineStr">
        <is>
          <t>Licencias CMS para mantenimiento intranets</t>
        </is>
      </c>
      <c r="I271" s="5" t="n">
        <v>137.2</v>
      </c>
      <c r="J271" s="3" t="n">
        <v>0.21</v>
      </c>
      <c r="K271" s="5">
        <f>ROUND(I271*(1+J271),2)</f>
        <v/>
      </c>
      <c r="L271" t="inlineStr">
        <is>
          <t>Fijo</t>
        </is>
      </c>
      <c r="M271" t="inlineStr">
        <is>
          <t>Administración</t>
        </is>
      </c>
      <c r="N271" t="inlineStr">
        <is>
          <t>Centro de prensa</t>
        </is>
      </c>
    </row>
    <row r="272">
      <c r="A272" t="inlineStr">
        <is>
          <t>GAS-0271</t>
        </is>
      </c>
      <c r="B272" s="2" t="n">
        <v>45379</v>
      </c>
      <c r="C272" t="inlineStr">
        <is>
          <t>Operaciones</t>
        </is>
      </c>
      <c r="D272" t="inlineStr">
        <is>
          <t>QA intranet</t>
        </is>
      </c>
      <c r="E272" t="inlineStr">
        <is>
          <t>NominaPlus</t>
        </is>
      </c>
      <c r="F272" t="inlineStr">
        <is>
          <t>Traducciones</t>
        </is>
      </c>
      <c r="G272" t="inlineStr">
        <is>
          <t>Soporte anual</t>
        </is>
      </c>
      <c r="H272" t="inlineStr">
        <is>
          <t>QA intranet para traducciones</t>
        </is>
      </c>
      <c r="I272" s="5" t="n">
        <v>4938.52</v>
      </c>
      <c r="J272" s="3" t="n">
        <v>0.21</v>
      </c>
      <c r="K272" s="5">
        <f>ROUND(I272*(1+J272),2)</f>
        <v/>
      </c>
      <c r="L272" t="inlineStr">
        <is>
          <t>Variable</t>
        </is>
      </c>
      <c r="M272" t="inlineStr">
        <is>
          <t>Marketing</t>
        </is>
      </c>
      <c r="N272" t="inlineStr">
        <is>
          <t>Centro de prensa</t>
        </is>
      </c>
    </row>
    <row r="273">
      <c r="A273" t="inlineStr">
        <is>
          <t>GAS-0272</t>
        </is>
      </c>
      <c r="B273" s="2" t="n">
        <v>45708</v>
      </c>
      <c r="C273" t="inlineStr">
        <is>
          <t>Personal</t>
        </is>
      </c>
      <c r="D273" t="inlineStr">
        <is>
          <t>Salarios</t>
        </is>
      </c>
      <c r="E273" t="inlineStr">
        <is>
          <t>TVSpot Studio</t>
        </is>
      </c>
      <c r="F273" t="inlineStr">
        <is>
          <t>Anuncios internet</t>
        </is>
      </c>
      <c r="G273" t="inlineStr">
        <is>
          <t>Proyecto puntual</t>
        </is>
      </c>
      <c r="H273" t="inlineStr">
        <is>
          <t>Salarios para anuncios internet</t>
        </is>
      </c>
      <c r="I273" s="5" t="n">
        <v>3881.58</v>
      </c>
      <c r="J273" s="3" t="n">
        <v>0</v>
      </c>
      <c r="K273" s="5">
        <f>ROUND(I273*(1+J273),2)</f>
        <v/>
      </c>
      <c r="L273" t="inlineStr">
        <is>
          <t>Variable</t>
        </is>
      </c>
      <c r="M273" t="inlineStr">
        <is>
          <t>Marketing</t>
        </is>
      </c>
      <c r="N273" t="inlineStr">
        <is>
          <t>Intranet comercial</t>
        </is>
      </c>
    </row>
    <row r="274">
      <c r="A274" t="inlineStr">
        <is>
          <t>GAS-0273</t>
        </is>
      </c>
      <c r="B274" s="2" t="n">
        <v>45473</v>
      </c>
      <c r="C274" t="inlineStr">
        <is>
          <t>Tecnología</t>
        </is>
      </c>
      <c r="D274" t="inlineStr">
        <is>
          <t>Hosting</t>
        </is>
      </c>
      <c r="E274" t="inlineStr">
        <is>
          <t>MediaCloud</t>
        </is>
      </c>
      <c r="F274" t="inlineStr">
        <is>
          <t>Generación de noticias</t>
        </is>
      </c>
      <c r="G274" t="inlineStr">
        <is>
          <t>Campaña</t>
        </is>
      </c>
      <c r="H274" t="inlineStr">
        <is>
          <t>Hosting para generación de noticias</t>
        </is>
      </c>
      <c r="I274" s="5" t="n">
        <v>1588.98</v>
      </c>
      <c r="J274" s="3" t="n">
        <v>0.21</v>
      </c>
      <c r="K274" s="5">
        <f>ROUND(I274*(1+J274),2)</f>
        <v/>
      </c>
      <c r="L274" t="inlineStr">
        <is>
          <t>Variable</t>
        </is>
      </c>
      <c r="M274" t="inlineStr">
        <is>
          <t>Operaciones</t>
        </is>
      </c>
      <c r="N274" t="inlineStr">
        <is>
          <t>Sección noticias</t>
        </is>
      </c>
    </row>
    <row r="275">
      <c r="A275" t="inlineStr">
        <is>
          <t>GAS-0274</t>
        </is>
      </c>
      <c r="B275" s="2" t="n">
        <v>45472</v>
      </c>
      <c r="C275" t="inlineStr">
        <is>
          <t>Tecnología</t>
        </is>
      </c>
      <c r="D275" t="inlineStr">
        <is>
          <t>Monitorización</t>
        </is>
      </c>
      <c r="E275" t="inlineStr">
        <is>
          <t>SEO Metrics</t>
        </is>
      </c>
      <c r="F275" t="inlineStr">
        <is>
          <t>Mantenimiento intranets</t>
        </is>
      </c>
      <c r="G275" t="inlineStr">
        <is>
          <t>Soporte anual</t>
        </is>
      </c>
      <c r="H275" t="inlineStr">
        <is>
          <t>Monitorización para mantenimiento intranets</t>
        </is>
      </c>
      <c r="I275" s="5" t="n">
        <v>1718.44</v>
      </c>
      <c r="J275" s="3" t="n">
        <v>0.21</v>
      </c>
      <c r="K275" s="5">
        <f>ROUND(I275*(1+J275),2)</f>
        <v/>
      </c>
      <c r="L275" t="inlineStr">
        <is>
          <t>Variable</t>
        </is>
      </c>
      <c r="M275" t="inlineStr">
        <is>
          <t>Comercial</t>
        </is>
      </c>
      <c r="N275" t="inlineStr">
        <is>
          <t>Centro de prensa</t>
        </is>
      </c>
    </row>
    <row r="276">
      <c r="A276" t="inlineStr">
        <is>
          <t>GAS-0275</t>
        </is>
      </c>
      <c r="B276" s="2" t="n">
        <v>45384</v>
      </c>
      <c r="C276" t="inlineStr">
        <is>
          <t>Marketing</t>
        </is>
      </c>
      <c r="D276" t="inlineStr">
        <is>
          <t>Ads prensa local</t>
        </is>
      </c>
      <c r="E276" t="inlineStr">
        <is>
          <t>CloudPulse</t>
        </is>
      </c>
      <c r="F276" t="inlineStr">
        <is>
          <t>Anuncios prensa</t>
        </is>
      </c>
      <c r="G276" t="inlineStr">
        <is>
          <t>Soporte anual</t>
        </is>
      </c>
      <c r="H276" t="inlineStr">
        <is>
          <t>Ads prensa local para anuncios prensa</t>
        </is>
      </c>
      <c r="I276" s="5" t="n">
        <v>5959.81</v>
      </c>
      <c r="J276" s="3" t="n">
        <v>0.1</v>
      </c>
      <c r="K276" s="5">
        <f>ROUND(I276*(1+J276),2)</f>
        <v/>
      </c>
      <c r="L276" t="inlineStr">
        <is>
          <t>Variable</t>
        </is>
      </c>
      <c r="M276" t="inlineStr">
        <is>
          <t>Comercial</t>
        </is>
      </c>
      <c r="N276" t="inlineStr">
        <is>
          <t>Portal internacional</t>
        </is>
      </c>
    </row>
    <row r="277">
      <c r="A277" t="inlineStr">
        <is>
          <t>GAS-0276</t>
        </is>
      </c>
      <c r="B277" s="2" t="n">
        <v>45410</v>
      </c>
      <c r="C277" t="inlineStr">
        <is>
          <t>Tecnología</t>
        </is>
      </c>
      <c r="D277" t="inlineStr">
        <is>
          <t>Monitorización</t>
        </is>
      </c>
      <c r="E277" t="inlineStr">
        <is>
          <t>LinguaTech</t>
        </is>
      </c>
      <c r="F277" t="inlineStr">
        <is>
          <t>Anuncios RRHH</t>
        </is>
      </c>
      <c r="G277" t="inlineStr">
        <is>
          <t>Suscripción mensual</t>
        </is>
      </c>
      <c r="H277" t="inlineStr">
        <is>
          <t>Monitorización para anuncios rrhh</t>
        </is>
      </c>
      <c r="I277" s="5" t="n">
        <v>2005.34</v>
      </c>
      <c r="J277" s="3" t="n">
        <v>0.21</v>
      </c>
      <c r="K277" s="5">
        <f>ROUND(I277*(1+J277),2)</f>
        <v/>
      </c>
      <c r="L277" t="inlineStr">
        <is>
          <t>Variable</t>
        </is>
      </c>
      <c r="M277" t="inlineStr">
        <is>
          <t>Tecnología</t>
        </is>
      </c>
      <c r="N277" t="inlineStr">
        <is>
          <t>Campaña empleo</t>
        </is>
      </c>
    </row>
    <row r="278">
      <c r="A278" t="inlineStr">
        <is>
          <t>GAS-0277</t>
        </is>
      </c>
      <c r="B278" s="2" t="n">
        <v>45324</v>
      </c>
      <c r="C278" t="inlineStr">
        <is>
          <t>Administración</t>
        </is>
      </c>
      <c r="D278" t="inlineStr">
        <is>
          <t>Telefonía</t>
        </is>
      </c>
      <c r="E278" t="inlineStr">
        <is>
          <t>Acme Hosting</t>
        </is>
      </c>
      <c r="F278" t="inlineStr">
        <is>
          <t>Traducciones</t>
        </is>
      </c>
      <c r="G278" t="inlineStr">
        <is>
          <t>Soporte anual</t>
        </is>
      </c>
      <c r="H278" t="inlineStr">
        <is>
          <t>Telefonía para traducciones</t>
        </is>
      </c>
      <c r="I278" s="5" t="n">
        <v>1528.19</v>
      </c>
      <c r="J278" s="3" t="n">
        <v>0.21</v>
      </c>
      <c r="K278" s="5">
        <f>ROUND(I278*(1+J278),2)</f>
        <v/>
      </c>
      <c r="L278" t="inlineStr">
        <is>
          <t>Fijo</t>
        </is>
      </c>
      <c r="M278" t="inlineStr">
        <is>
          <t>Operaciones</t>
        </is>
      </c>
      <c r="N278" t="inlineStr">
        <is>
          <t>Intranet comercial</t>
        </is>
      </c>
    </row>
    <row r="279">
      <c r="A279" t="inlineStr">
        <is>
          <t>GAS-0278</t>
        </is>
      </c>
      <c r="B279" s="2" t="n">
        <v>45585</v>
      </c>
      <c r="C279" t="inlineStr">
        <is>
          <t>Tecnología</t>
        </is>
      </c>
      <c r="D279" t="inlineStr">
        <is>
          <t>Herramientas SEO</t>
        </is>
      </c>
      <c r="E279" t="inlineStr">
        <is>
          <t>NominaPlus</t>
        </is>
      </c>
      <c r="F279" t="inlineStr">
        <is>
          <t>Mantenimiento web</t>
        </is>
      </c>
      <c r="G279" t="inlineStr">
        <is>
          <t>Proyecto puntual</t>
        </is>
      </c>
      <c r="H279" t="inlineStr">
        <is>
          <t>Herramientas SEO para mantenimiento web</t>
        </is>
      </c>
      <c r="I279" s="5" t="n">
        <v>825.09</v>
      </c>
      <c r="J279" s="3" t="n">
        <v>0.21</v>
      </c>
      <c r="K279" s="5">
        <f>ROUND(I279*(1+J279),2)</f>
        <v/>
      </c>
      <c r="L279" t="inlineStr">
        <is>
          <t>Variable</t>
        </is>
      </c>
      <c r="M279" t="inlineStr">
        <is>
          <t>Marketing</t>
        </is>
      </c>
      <c r="N279" t="inlineStr">
        <is>
          <t>Intranet operaciones</t>
        </is>
      </c>
    </row>
    <row r="280">
      <c r="A280" t="inlineStr">
        <is>
          <t>GAS-0279</t>
        </is>
      </c>
      <c r="B280" s="2" t="n">
        <v>45304</v>
      </c>
      <c r="C280" t="inlineStr">
        <is>
          <t>Marketing</t>
        </is>
      </c>
      <c r="D280" t="inlineStr">
        <is>
          <t>Ads Google</t>
        </is>
      </c>
      <c r="E280" t="inlineStr">
        <is>
          <t>SEO Metrics</t>
        </is>
      </c>
      <c r="F280" t="inlineStr">
        <is>
          <t>Mantenimiento intranets</t>
        </is>
      </c>
      <c r="G280" t="inlineStr">
        <is>
          <t>Suscripción mensual</t>
        </is>
      </c>
      <c r="H280" t="inlineStr">
        <is>
          <t>Ads Google para mantenimiento intranets</t>
        </is>
      </c>
      <c r="I280" s="5" t="n">
        <v>6483.79</v>
      </c>
      <c r="J280" s="3" t="n">
        <v>0.21</v>
      </c>
      <c r="K280" s="5">
        <f>ROUND(I280*(1+J280),2)</f>
        <v/>
      </c>
      <c r="L280" t="inlineStr">
        <is>
          <t>Fijo</t>
        </is>
      </c>
      <c r="M280" t="inlineStr">
        <is>
          <t>Comercial</t>
        </is>
      </c>
      <c r="N280" t="inlineStr">
        <is>
          <t>Portal corporativo</t>
        </is>
      </c>
    </row>
    <row r="281">
      <c r="A281" t="inlineStr">
        <is>
          <t>GAS-0280</t>
        </is>
      </c>
      <c r="B281" s="2" t="n">
        <v>45562</v>
      </c>
      <c r="C281" t="inlineStr">
        <is>
          <t>Tecnología</t>
        </is>
      </c>
      <c r="D281" t="inlineStr">
        <is>
          <t>Software traducción</t>
        </is>
      </c>
      <c r="E281" t="inlineStr">
        <is>
          <t>Legal Iberia</t>
        </is>
      </c>
      <c r="F281" t="inlineStr">
        <is>
          <t>Anuncios TV</t>
        </is>
      </c>
      <c r="G281" t="inlineStr">
        <is>
          <t>Proyecto puntual</t>
        </is>
      </c>
      <c r="H281" t="inlineStr">
        <is>
          <t>Software traducción para anuncios tv</t>
        </is>
      </c>
      <c r="I281" s="5" t="n">
        <v>870.45</v>
      </c>
      <c r="J281" s="3" t="n">
        <v>0.21</v>
      </c>
      <c r="K281" s="5">
        <f>ROUND(I281*(1+J281),2)</f>
        <v/>
      </c>
      <c r="L281" t="inlineStr">
        <is>
          <t>Variable</t>
        </is>
      </c>
      <c r="M281" t="inlineStr">
        <is>
          <t>Administración</t>
        </is>
      </c>
      <c r="N281" t="inlineStr">
        <is>
          <t>Portal internacional</t>
        </is>
      </c>
    </row>
    <row r="282">
      <c r="A282" t="inlineStr">
        <is>
          <t>GAS-0281</t>
        </is>
      </c>
      <c r="B282" s="2" t="n">
        <v>45357</v>
      </c>
      <c r="C282" t="inlineStr">
        <is>
          <t>Tecnología</t>
        </is>
      </c>
      <c r="D282" t="inlineStr">
        <is>
          <t>Monitorización</t>
        </is>
      </c>
      <c r="E282" t="inlineStr">
        <is>
          <t>NominaPlus</t>
        </is>
      </c>
      <c r="F282" t="inlineStr">
        <is>
          <t>Publicación de noticias</t>
        </is>
      </c>
      <c r="G282" t="inlineStr">
        <is>
          <t>Retainer trimestral</t>
        </is>
      </c>
      <c r="H282" t="inlineStr">
        <is>
          <t>Monitorización para publicación de noticias</t>
        </is>
      </c>
      <c r="I282" s="5" t="n">
        <v>1098.2</v>
      </c>
      <c r="J282" s="3" t="n">
        <v>0</v>
      </c>
      <c r="K282" s="5">
        <f>ROUND(I282*(1+J282),2)</f>
        <v/>
      </c>
      <c r="L282" t="inlineStr">
        <is>
          <t>Fijo</t>
        </is>
      </c>
      <c r="M282" t="inlineStr">
        <is>
          <t>Marketing</t>
        </is>
      </c>
      <c r="N282" t="inlineStr">
        <is>
          <t>Campaña empleo</t>
        </is>
      </c>
    </row>
    <row r="283">
      <c r="A283" t="inlineStr">
        <is>
          <t>GAS-0282</t>
        </is>
      </c>
      <c r="B283" s="2" t="n">
        <v>45475</v>
      </c>
      <c r="C283" t="inlineStr">
        <is>
          <t>Personal</t>
        </is>
      </c>
      <c r="D283" t="inlineStr">
        <is>
          <t>Formación</t>
        </is>
      </c>
      <c r="E283" t="inlineStr">
        <is>
          <t>LinguaTech</t>
        </is>
      </c>
      <c r="F283" t="inlineStr">
        <is>
          <t>Anuncios RRHH</t>
        </is>
      </c>
      <c r="G283" t="inlineStr">
        <is>
          <t>Proyecto puntual</t>
        </is>
      </c>
      <c r="H283" t="inlineStr">
        <is>
          <t>Formación para anuncios rrhh</t>
        </is>
      </c>
      <c r="I283" s="5" t="n">
        <v>1364.56</v>
      </c>
      <c r="J283" s="3" t="n">
        <v>0.21</v>
      </c>
      <c r="K283" s="5">
        <f>ROUND(I283*(1+J283),2)</f>
        <v/>
      </c>
      <c r="L283" t="inlineStr">
        <is>
          <t>Fijo</t>
        </is>
      </c>
      <c r="M283" t="inlineStr">
        <is>
          <t>Administración</t>
        </is>
      </c>
      <c r="N283" t="inlineStr">
        <is>
          <t>Campaña empleo</t>
        </is>
      </c>
    </row>
    <row r="284">
      <c r="A284" t="inlineStr">
        <is>
          <t>GAS-0283</t>
        </is>
      </c>
      <c r="B284" s="2" t="n">
        <v>45426</v>
      </c>
      <c r="C284" t="inlineStr">
        <is>
          <t>Operaciones</t>
        </is>
      </c>
      <c r="D284" t="inlineStr">
        <is>
          <t>Subtitulación</t>
        </is>
      </c>
      <c r="E284" t="inlineStr">
        <is>
          <t>SEO Metrics</t>
        </is>
      </c>
      <c r="F284" t="inlineStr">
        <is>
          <t>Anuncios prensa</t>
        </is>
      </c>
      <c r="G284" t="inlineStr">
        <is>
          <t>Suscripción mensual</t>
        </is>
      </c>
      <c r="H284" t="inlineStr">
        <is>
          <t>Subtitulación para anuncios prensa</t>
        </is>
      </c>
      <c r="I284" s="5" t="n">
        <v>3559.22</v>
      </c>
      <c r="J284" s="3" t="n">
        <v>0</v>
      </c>
      <c r="K284" s="5">
        <f>ROUND(I284*(1+J284),2)</f>
        <v/>
      </c>
      <c r="L284" t="inlineStr">
        <is>
          <t>Variable</t>
        </is>
      </c>
      <c r="M284" t="inlineStr">
        <is>
          <t>Marketing</t>
        </is>
      </c>
      <c r="N284" t="inlineStr">
        <is>
          <t>Centro de prensa</t>
        </is>
      </c>
    </row>
    <row r="285">
      <c r="A285" t="inlineStr">
        <is>
          <t>GAS-0284</t>
        </is>
      </c>
      <c r="B285" s="2" t="n">
        <v>45323</v>
      </c>
      <c r="C285" t="inlineStr">
        <is>
          <t>Personal</t>
        </is>
      </c>
      <c r="D285" t="inlineStr">
        <is>
          <t>Salarios</t>
        </is>
      </c>
      <c r="E285" t="inlineStr">
        <is>
          <t>NoticiasPro</t>
        </is>
      </c>
      <c r="F285" t="inlineStr">
        <is>
          <t>Publicación de noticias</t>
        </is>
      </c>
      <c r="G285" t="inlineStr">
        <is>
          <t>Campaña</t>
        </is>
      </c>
      <c r="H285" t="inlineStr">
        <is>
          <t>Salarios para publicación de noticias</t>
        </is>
      </c>
      <c r="I285" s="5" t="n">
        <v>2690.9</v>
      </c>
      <c r="J285" s="3" t="n">
        <v>0</v>
      </c>
      <c r="K285" s="5">
        <f>ROUND(I285*(1+J285),2)</f>
        <v/>
      </c>
      <c r="L285" t="inlineStr">
        <is>
          <t>Fijo</t>
        </is>
      </c>
      <c r="M285" t="inlineStr">
        <is>
          <t>Tecnología</t>
        </is>
      </c>
      <c r="N285" t="inlineStr">
        <is>
          <t>Intranet comercial</t>
        </is>
      </c>
    </row>
    <row r="286">
      <c r="A286" t="inlineStr">
        <is>
          <t>GAS-0285</t>
        </is>
      </c>
      <c r="B286" s="2" t="n">
        <v>45407</v>
      </c>
      <c r="C286" t="inlineStr">
        <is>
          <t>Operaciones</t>
        </is>
      </c>
      <c r="D286" t="inlineStr">
        <is>
          <t>Freelancers</t>
        </is>
      </c>
      <c r="E286" t="inlineStr">
        <is>
          <t>SEO Metrics</t>
        </is>
      </c>
      <c r="F286" t="inlineStr">
        <is>
          <t>Anuncios TV</t>
        </is>
      </c>
      <c r="G286" t="inlineStr">
        <is>
          <t>Retainer trimestral</t>
        </is>
      </c>
      <c r="H286" t="inlineStr">
        <is>
          <t>Freelancers para anuncios tv</t>
        </is>
      </c>
      <c r="I286" s="5" t="n">
        <v>758.76</v>
      </c>
      <c r="J286" s="3" t="n">
        <v>0.21</v>
      </c>
      <c r="K286" s="5">
        <f>ROUND(I286*(1+J286),2)</f>
        <v/>
      </c>
      <c r="L286" t="inlineStr">
        <is>
          <t>Variable</t>
        </is>
      </c>
      <c r="M286" t="inlineStr">
        <is>
          <t>Tecnología</t>
        </is>
      </c>
      <c r="N286" t="inlineStr">
        <is>
          <t>Campaña empleo</t>
        </is>
      </c>
    </row>
    <row r="287">
      <c r="A287" t="inlineStr">
        <is>
          <t>GAS-0286</t>
        </is>
      </c>
      <c r="B287" s="2" t="n">
        <v>45669</v>
      </c>
      <c r="C287" t="inlineStr">
        <is>
          <t>Personal</t>
        </is>
      </c>
      <c r="D287" t="inlineStr">
        <is>
          <t>Salarios</t>
        </is>
      </c>
      <c r="E287" t="inlineStr">
        <is>
          <t>Acme Hosting</t>
        </is>
      </c>
      <c r="F287" t="inlineStr">
        <is>
          <t>Mantenimiento web</t>
        </is>
      </c>
      <c r="G287" t="inlineStr">
        <is>
          <t>Soporte anual</t>
        </is>
      </c>
      <c r="H287" t="inlineStr">
        <is>
          <t>Salarios para mantenimiento web</t>
        </is>
      </c>
      <c r="I287" s="5" t="n">
        <v>6847.38</v>
      </c>
      <c r="J287" s="3" t="n">
        <v>0.21</v>
      </c>
      <c r="K287" s="5">
        <f>ROUND(I287*(1+J287),2)</f>
        <v/>
      </c>
      <c r="L287" t="inlineStr">
        <is>
          <t>Fijo</t>
        </is>
      </c>
      <c r="M287" t="inlineStr">
        <is>
          <t>Marketing</t>
        </is>
      </c>
      <c r="N287" t="inlineStr">
        <is>
          <t>Microsite RRHH</t>
        </is>
      </c>
    </row>
    <row r="288">
      <c r="A288" t="inlineStr">
        <is>
          <t>GAS-0287</t>
        </is>
      </c>
      <c r="B288" s="2" t="n">
        <v>45472</v>
      </c>
      <c r="C288" t="inlineStr">
        <is>
          <t>Marketing</t>
        </is>
      </c>
      <c r="D288" t="inlineStr">
        <is>
          <t>Producción TV</t>
        </is>
      </c>
      <c r="E288" t="inlineStr">
        <is>
          <t>NoticiasPro</t>
        </is>
      </c>
      <c r="F288" t="inlineStr">
        <is>
          <t>Anuncios prensa</t>
        </is>
      </c>
      <c r="G288" t="inlineStr">
        <is>
          <t>Retainer trimestral</t>
        </is>
      </c>
      <c r="H288" t="inlineStr">
        <is>
          <t>Producción TV para anuncios prensa</t>
        </is>
      </c>
      <c r="I288" s="5" t="n">
        <v>1680.51</v>
      </c>
      <c r="J288" s="3" t="n">
        <v>0.21</v>
      </c>
      <c r="K288" s="5">
        <f>ROUND(I288*(1+J288),2)</f>
        <v/>
      </c>
      <c r="L288" t="inlineStr">
        <is>
          <t>Fijo</t>
        </is>
      </c>
      <c r="M288" t="inlineStr">
        <is>
          <t>Comercial</t>
        </is>
      </c>
      <c r="N288" t="inlineStr">
        <is>
          <t>Campaña empleo</t>
        </is>
      </c>
    </row>
    <row r="289">
      <c r="A289" t="inlineStr">
        <is>
          <t>GAS-0288</t>
        </is>
      </c>
      <c r="B289" s="2" t="n">
        <v>45702</v>
      </c>
      <c r="C289" t="inlineStr">
        <is>
          <t>Personal</t>
        </is>
      </c>
      <c r="D289" t="inlineStr">
        <is>
          <t>Salarios</t>
        </is>
      </c>
      <c r="E289" t="inlineStr">
        <is>
          <t>Acme Hosting</t>
        </is>
      </c>
      <c r="F289" t="inlineStr">
        <is>
          <t>Mantenimiento intranets</t>
        </is>
      </c>
      <c r="G289" t="inlineStr">
        <is>
          <t>Proyecto puntual</t>
        </is>
      </c>
      <c r="H289" t="inlineStr">
        <is>
          <t>Salarios para mantenimiento intranets</t>
        </is>
      </c>
      <c r="I289" s="5" t="n">
        <v>4215.38</v>
      </c>
      <c r="J289" s="3" t="n">
        <v>0</v>
      </c>
      <c r="K289" s="5">
        <f>ROUND(I289*(1+J289),2)</f>
        <v/>
      </c>
      <c r="L289" t="inlineStr">
        <is>
          <t>Fijo</t>
        </is>
      </c>
      <c r="M289" t="inlineStr">
        <is>
          <t>Operaciones</t>
        </is>
      </c>
      <c r="N289" t="inlineStr">
        <is>
          <t>Sección noticias</t>
        </is>
      </c>
    </row>
    <row r="290">
      <c r="A290" t="inlineStr">
        <is>
          <t>GAS-0289</t>
        </is>
      </c>
      <c r="B290" s="2" t="n">
        <v>45495</v>
      </c>
      <c r="C290" t="inlineStr">
        <is>
          <t>Tecnología</t>
        </is>
      </c>
      <c r="D290" t="inlineStr">
        <is>
          <t>Herramientas SEO</t>
        </is>
      </c>
      <c r="E290" t="inlineStr">
        <is>
          <t>Legal Iberia</t>
        </is>
      </c>
      <c r="F290" t="inlineStr">
        <is>
          <t>Mantenimiento web</t>
        </is>
      </c>
      <c r="G290" t="inlineStr">
        <is>
          <t>Suscripción mensual</t>
        </is>
      </c>
      <c r="H290" t="inlineStr">
        <is>
          <t>Herramientas SEO para mantenimiento web</t>
        </is>
      </c>
      <c r="I290" s="5" t="n">
        <v>1477.61</v>
      </c>
      <c r="J290" s="3" t="n">
        <v>0</v>
      </c>
      <c r="K290" s="5">
        <f>ROUND(I290*(1+J290),2)</f>
        <v/>
      </c>
      <c r="L290" t="inlineStr">
        <is>
          <t>Fijo</t>
        </is>
      </c>
      <c r="M290" t="inlineStr">
        <is>
          <t>Tecnología</t>
        </is>
      </c>
      <c r="N290" t="inlineStr">
        <is>
          <t>Campaña empleo</t>
        </is>
      </c>
    </row>
    <row r="291">
      <c r="A291" t="inlineStr">
        <is>
          <t>GAS-0290</t>
        </is>
      </c>
      <c r="B291" s="2" t="n">
        <v>45417</v>
      </c>
      <c r="C291" t="inlineStr">
        <is>
          <t>Tecnología</t>
        </is>
      </c>
      <c r="D291" t="inlineStr">
        <is>
          <t>Herramientas SEO</t>
        </is>
      </c>
      <c r="E291" t="inlineStr">
        <is>
          <t>NominaPlus</t>
        </is>
      </c>
      <c r="F291" t="inlineStr">
        <is>
          <t>Mantenimiento intranets</t>
        </is>
      </c>
      <c r="G291" t="inlineStr">
        <is>
          <t>Retainer trimestral</t>
        </is>
      </c>
      <c r="H291" t="inlineStr">
        <is>
          <t>Herramientas SEO para mantenimiento intranets</t>
        </is>
      </c>
      <c r="I291" s="5" t="n">
        <v>782.3099999999999</v>
      </c>
      <c r="J291" s="3" t="n">
        <v>0.21</v>
      </c>
      <c r="K291" s="5">
        <f>ROUND(I291*(1+J291),2)</f>
        <v/>
      </c>
      <c r="L291" t="inlineStr">
        <is>
          <t>Fijo</t>
        </is>
      </c>
      <c r="M291" t="inlineStr">
        <is>
          <t>Operaciones</t>
        </is>
      </c>
      <c r="N291" t="inlineStr">
        <is>
          <t>Portal internacional</t>
        </is>
      </c>
    </row>
    <row r="292">
      <c r="A292" t="inlineStr">
        <is>
          <t>GAS-0291</t>
        </is>
      </c>
      <c r="B292" s="2" t="n">
        <v>45575</v>
      </c>
      <c r="C292" t="inlineStr">
        <is>
          <t>Operaciones</t>
        </is>
      </c>
      <c r="D292" t="inlineStr">
        <is>
          <t>QA intranet</t>
        </is>
      </c>
      <c r="E292" t="inlineStr">
        <is>
          <t>NoticiasPro</t>
        </is>
      </c>
      <c r="F292" t="inlineStr">
        <is>
          <t>Generación de noticias</t>
        </is>
      </c>
      <c r="G292" t="inlineStr">
        <is>
          <t>Suscripción mensual</t>
        </is>
      </c>
      <c r="H292" t="inlineStr">
        <is>
          <t>QA intranet para generación de noticias</t>
        </is>
      </c>
      <c r="I292" s="5" t="n">
        <v>3197.82</v>
      </c>
      <c r="J292" s="3" t="n">
        <v>0.21</v>
      </c>
      <c r="K292" s="5">
        <f>ROUND(I292*(1+J292),2)</f>
        <v/>
      </c>
      <c r="L292" t="inlineStr">
        <is>
          <t>Fijo</t>
        </is>
      </c>
      <c r="M292" t="inlineStr">
        <is>
          <t>Operaciones</t>
        </is>
      </c>
      <c r="N292" t="inlineStr">
        <is>
          <t>Campaña empleo</t>
        </is>
      </c>
    </row>
    <row r="293">
      <c r="A293" t="inlineStr">
        <is>
          <t>GAS-0292</t>
        </is>
      </c>
      <c r="B293" s="2" t="n">
        <v>45335</v>
      </c>
      <c r="C293" t="inlineStr">
        <is>
          <t>Marketing</t>
        </is>
      </c>
      <c r="D293" t="inlineStr">
        <is>
          <t>Producción TV</t>
        </is>
      </c>
      <c r="E293" t="inlineStr">
        <is>
          <t>Acme Hosting</t>
        </is>
      </c>
      <c r="F293" t="inlineStr">
        <is>
          <t>Traducciones</t>
        </is>
      </c>
      <c r="G293" t="inlineStr">
        <is>
          <t>Retainer trimestral</t>
        </is>
      </c>
      <c r="H293" t="inlineStr">
        <is>
          <t>Producción TV para traducciones</t>
        </is>
      </c>
      <c r="I293" s="5" t="n">
        <v>3462.49</v>
      </c>
      <c r="J293" s="3" t="n">
        <v>0.1</v>
      </c>
      <c r="K293" s="5">
        <f>ROUND(I293*(1+J293),2)</f>
        <v/>
      </c>
      <c r="L293" t="inlineStr">
        <is>
          <t>Variable</t>
        </is>
      </c>
      <c r="M293" t="inlineStr">
        <is>
          <t>Marketing</t>
        </is>
      </c>
      <c r="N293" t="inlineStr">
        <is>
          <t>Portal corporativo</t>
        </is>
      </c>
    </row>
    <row r="294">
      <c r="A294" t="inlineStr">
        <is>
          <t>GAS-0293</t>
        </is>
      </c>
      <c r="B294" s="2" t="n">
        <v>45448</v>
      </c>
      <c r="C294" t="inlineStr">
        <is>
          <t>Operaciones</t>
        </is>
      </c>
      <c r="D294" t="inlineStr">
        <is>
          <t>QA intranet</t>
        </is>
      </c>
      <c r="E294" t="inlineStr">
        <is>
          <t>Acme Hosting</t>
        </is>
      </c>
      <c r="F294" t="inlineStr">
        <is>
          <t>Anuncios internet</t>
        </is>
      </c>
      <c r="G294" t="inlineStr">
        <is>
          <t>Soporte anual</t>
        </is>
      </c>
      <c r="H294" t="inlineStr">
        <is>
          <t>QA intranet para anuncios internet</t>
        </is>
      </c>
      <c r="I294" s="5" t="n">
        <v>2671.85</v>
      </c>
      <c r="J294" s="3" t="n">
        <v>0.21</v>
      </c>
      <c r="K294" s="5">
        <f>ROUND(I294*(1+J294),2)</f>
        <v/>
      </c>
      <c r="L294" t="inlineStr">
        <is>
          <t>Fijo</t>
        </is>
      </c>
      <c r="M294" t="inlineStr">
        <is>
          <t>Administración</t>
        </is>
      </c>
      <c r="N294" t="inlineStr">
        <is>
          <t>Portal internacional</t>
        </is>
      </c>
    </row>
    <row r="295">
      <c r="A295" t="inlineStr">
        <is>
          <t>GAS-0294</t>
        </is>
      </c>
      <c r="B295" s="2" t="n">
        <v>45665</v>
      </c>
      <c r="C295" t="inlineStr">
        <is>
          <t>Operaciones</t>
        </is>
      </c>
      <c r="D295" t="inlineStr">
        <is>
          <t>Subtitulación</t>
        </is>
      </c>
      <c r="E295" t="inlineStr">
        <is>
          <t>Redacción Global</t>
        </is>
      </c>
      <c r="F295" t="inlineStr">
        <is>
          <t>Mantenimiento intranets</t>
        </is>
      </c>
      <c r="G295" t="inlineStr">
        <is>
          <t>Suscripción mensual</t>
        </is>
      </c>
      <c r="H295" t="inlineStr">
        <is>
          <t>Subtitulación para mantenimiento intranets</t>
        </is>
      </c>
      <c r="I295" s="5" t="n">
        <v>2689.34</v>
      </c>
      <c r="J295" s="3" t="n">
        <v>0</v>
      </c>
      <c r="K295" s="5">
        <f>ROUND(I295*(1+J295),2)</f>
        <v/>
      </c>
      <c r="L295" t="inlineStr">
        <is>
          <t>Variable</t>
        </is>
      </c>
      <c r="M295" t="inlineStr">
        <is>
          <t>Tecnología</t>
        </is>
      </c>
      <c r="N295" t="inlineStr">
        <is>
          <t>Intranet operaciones</t>
        </is>
      </c>
    </row>
    <row r="296">
      <c r="A296" t="inlineStr">
        <is>
          <t>GAS-0295</t>
        </is>
      </c>
      <c r="B296" s="2" t="n">
        <v>45299</v>
      </c>
      <c r="C296" t="inlineStr">
        <is>
          <t>Tecnología</t>
        </is>
      </c>
      <c r="D296" t="inlineStr">
        <is>
          <t>Monitorización</t>
        </is>
      </c>
      <c r="E296" t="inlineStr">
        <is>
          <t>IntraSys</t>
        </is>
      </c>
      <c r="F296" t="inlineStr">
        <is>
          <t>Anuncios TV</t>
        </is>
      </c>
      <c r="G296" t="inlineStr">
        <is>
          <t>Retainer trimestral</t>
        </is>
      </c>
      <c r="H296" t="inlineStr">
        <is>
          <t>Monitorización para anuncios tv</t>
        </is>
      </c>
      <c r="I296" s="5" t="n">
        <v>2307.91</v>
      </c>
      <c r="J296" s="3" t="n">
        <v>0</v>
      </c>
      <c r="K296" s="5">
        <f>ROUND(I296*(1+J296),2)</f>
        <v/>
      </c>
      <c r="L296" t="inlineStr">
        <is>
          <t>Fijo</t>
        </is>
      </c>
      <c r="M296" t="inlineStr">
        <is>
          <t>Administración</t>
        </is>
      </c>
      <c r="N296" t="inlineStr">
        <is>
          <t>Centro de prensa</t>
        </is>
      </c>
    </row>
    <row r="297">
      <c r="A297" t="inlineStr">
        <is>
          <t>GAS-0296</t>
        </is>
      </c>
      <c r="B297" s="2" t="n">
        <v>45603</v>
      </c>
      <c r="C297" t="inlineStr">
        <is>
          <t>Personal</t>
        </is>
      </c>
      <c r="D297" t="inlineStr">
        <is>
          <t>Seguridad Social</t>
        </is>
      </c>
      <c r="E297" t="inlineStr">
        <is>
          <t>Acme Hosting</t>
        </is>
      </c>
      <c r="F297" t="inlineStr">
        <is>
          <t>Mantenimiento web</t>
        </is>
      </c>
      <c r="G297" t="inlineStr">
        <is>
          <t>Suscripción mensual</t>
        </is>
      </c>
      <c r="H297" t="inlineStr">
        <is>
          <t>Seguridad Social para mantenimiento web</t>
        </is>
      </c>
      <c r="I297" s="5" t="n">
        <v>5693.49</v>
      </c>
      <c r="J297" s="3" t="n">
        <v>0.21</v>
      </c>
      <c r="K297" s="5">
        <f>ROUND(I297*(1+J297),2)</f>
        <v/>
      </c>
      <c r="L297" t="inlineStr">
        <is>
          <t>Variable</t>
        </is>
      </c>
      <c r="M297" t="inlineStr">
        <is>
          <t>Tecnología</t>
        </is>
      </c>
      <c r="N297" t="inlineStr">
        <is>
          <t>Sección noticias</t>
        </is>
      </c>
    </row>
    <row r="298">
      <c r="A298" t="inlineStr">
        <is>
          <t>GAS-0297</t>
        </is>
      </c>
      <c r="B298" s="2" t="n">
        <v>45501</v>
      </c>
      <c r="C298" t="inlineStr">
        <is>
          <t>Tecnología</t>
        </is>
      </c>
      <c r="D298" t="inlineStr">
        <is>
          <t>Hosting</t>
        </is>
      </c>
      <c r="E298" t="inlineStr">
        <is>
          <t>Acme Hosting</t>
        </is>
      </c>
      <c r="F298" t="inlineStr">
        <is>
          <t>Anuncios internet</t>
        </is>
      </c>
      <c r="G298" t="inlineStr">
        <is>
          <t>Soporte anual</t>
        </is>
      </c>
      <c r="H298" t="inlineStr">
        <is>
          <t>Hosting para anuncios internet</t>
        </is>
      </c>
      <c r="I298" s="5" t="n">
        <v>165.85</v>
      </c>
      <c r="J298" s="3" t="n">
        <v>0</v>
      </c>
      <c r="K298" s="5">
        <f>ROUND(I298*(1+J298),2)</f>
        <v/>
      </c>
      <c r="L298" t="inlineStr">
        <is>
          <t>Variable</t>
        </is>
      </c>
      <c r="M298" t="inlineStr">
        <is>
          <t>Administración</t>
        </is>
      </c>
      <c r="N298" t="inlineStr">
        <is>
          <t>Portal internacional</t>
        </is>
      </c>
    </row>
    <row r="299">
      <c r="A299" t="inlineStr">
        <is>
          <t>GAS-0298</t>
        </is>
      </c>
      <c r="B299" s="2" t="n">
        <v>45381</v>
      </c>
      <c r="C299" t="inlineStr">
        <is>
          <t>Administración</t>
        </is>
      </c>
      <c r="D299" t="inlineStr">
        <is>
          <t>Gestoría</t>
        </is>
      </c>
      <c r="E299" t="inlineStr">
        <is>
          <t>MediaCloud</t>
        </is>
      </c>
      <c r="F299" t="inlineStr">
        <is>
          <t>Publicación de noticias</t>
        </is>
      </c>
      <c r="G299" t="inlineStr">
        <is>
          <t>Soporte anual</t>
        </is>
      </c>
      <c r="H299" t="inlineStr">
        <is>
          <t>Gestoría para publicación de noticias</t>
        </is>
      </c>
      <c r="I299" s="5" t="n">
        <v>873.22</v>
      </c>
      <c r="J299" s="3" t="n">
        <v>0</v>
      </c>
      <c r="K299" s="5">
        <f>ROUND(I299*(1+J299),2)</f>
        <v/>
      </c>
      <c r="L299" t="inlineStr">
        <is>
          <t>Fijo</t>
        </is>
      </c>
      <c r="M299" t="inlineStr">
        <is>
          <t>Operaciones</t>
        </is>
      </c>
      <c r="N299" t="inlineStr">
        <is>
          <t>Portal corporativo</t>
        </is>
      </c>
    </row>
    <row r="300">
      <c r="A300" t="inlineStr">
        <is>
          <t>GAS-0299</t>
        </is>
      </c>
      <c r="B300" s="2" t="n">
        <v>45424</v>
      </c>
      <c r="C300" t="inlineStr">
        <is>
          <t>Personal</t>
        </is>
      </c>
      <c r="D300" t="inlineStr">
        <is>
          <t>Formación</t>
        </is>
      </c>
      <c r="E300" t="inlineStr">
        <is>
          <t>IntraSys</t>
        </is>
      </c>
      <c r="F300" t="inlineStr">
        <is>
          <t>Anuncios internet</t>
        </is>
      </c>
      <c r="G300" t="inlineStr">
        <is>
          <t>Suscripción mensual</t>
        </is>
      </c>
      <c r="H300" t="inlineStr">
        <is>
          <t>Formación para anuncios internet</t>
        </is>
      </c>
      <c r="I300" s="5" t="n">
        <v>5433.2</v>
      </c>
      <c r="J300" s="3" t="n">
        <v>0.21</v>
      </c>
      <c r="K300" s="5">
        <f>ROUND(I300*(1+J300),2)</f>
        <v/>
      </c>
      <c r="L300" t="inlineStr">
        <is>
          <t>Fijo</t>
        </is>
      </c>
      <c r="M300" t="inlineStr">
        <is>
          <t>Administración</t>
        </is>
      </c>
      <c r="N300" t="inlineStr">
        <is>
          <t>Campaña empleo</t>
        </is>
      </c>
    </row>
    <row r="301">
      <c r="A301" t="inlineStr">
        <is>
          <t>GAS-0300</t>
        </is>
      </c>
      <c r="B301" s="2" t="n">
        <v>45713</v>
      </c>
      <c r="C301" t="inlineStr">
        <is>
          <t>Personal</t>
        </is>
      </c>
      <c r="D301" t="inlineStr">
        <is>
          <t>Salarios</t>
        </is>
      </c>
      <c r="E301" t="inlineStr">
        <is>
          <t>SEO Metrics</t>
        </is>
      </c>
      <c r="F301" t="inlineStr">
        <is>
          <t>Anuncios TV</t>
        </is>
      </c>
      <c r="G301" t="inlineStr">
        <is>
          <t>Campaña</t>
        </is>
      </c>
      <c r="H301" t="inlineStr">
        <is>
          <t>Salarios para anuncios tv</t>
        </is>
      </c>
      <c r="I301" s="5" t="n">
        <v>4439.83</v>
      </c>
      <c r="J301" s="3" t="n">
        <v>0</v>
      </c>
      <c r="K301" s="5">
        <f>ROUND(I301*(1+J301),2)</f>
        <v/>
      </c>
      <c r="L301" t="inlineStr">
        <is>
          <t>Variable</t>
        </is>
      </c>
      <c r="M301" t="inlineStr">
        <is>
          <t>Tecnología</t>
        </is>
      </c>
      <c r="N301" t="inlineStr">
        <is>
          <t>Sección noticias</t>
        </is>
      </c>
    </row>
    <row r="302">
      <c r="A302" t="inlineStr">
        <is>
          <t>GAS-0301</t>
        </is>
      </c>
      <c r="B302" s="2" t="n">
        <v>45610</v>
      </c>
      <c r="C302" t="inlineStr">
        <is>
          <t>Personal</t>
        </is>
      </c>
      <c r="D302" t="inlineStr">
        <is>
          <t>Formación</t>
        </is>
      </c>
      <c r="E302" t="inlineStr">
        <is>
          <t>Acme Hosting</t>
        </is>
      </c>
      <c r="F302" t="inlineStr">
        <is>
          <t>Anuncios RRHH</t>
        </is>
      </c>
      <c r="G302" t="inlineStr">
        <is>
          <t>Proyecto puntual</t>
        </is>
      </c>
      <c r="H302" t="inlineStr">
        <is>
          <t>Formación para anuncios rrhh</t>
        </is>
      </c>
      <c r="I302" s="5" t="n">
        <v>3645.4</v>
      </c>
      <c r="J302" s="3" t="n">
        <v>0.21</v>
      </c>
      <c r="K302" s="5">
        <f>ROUND(I302*(1+J302),2)</f>
        <v/>
      </c>
      <c r="L302" t="inlineStr">
        <is>
          <t>Fijo</t>
        </is>
      </c>
      <c r="M302" t="inlineStr">
        <is>
          <t>Tecnología</t>
        </is>
      </c>
      <c r="N302" t="inlineStr">
        <is>
          <t>Sección noticias</t>
        </is>
      </c>
    </row>
    <row r="303">
      <c r="A303" t="inlineStr">
        <is>
          <t>GAS-0302</t>
        </is>
      </c>
      <c r="B303" s="2" t="n">
        <v>45589</v>
      </c>
      <c r="C303" t="inlineStr">
        <is>
          <t>Operaciones</t>
        </is>
      </c>
      <c r="D303" t="inlineStr">
        <is>
          <t>Freelancers</t>
        </is>
      </c>
      <c r="E303" t="inlineStr">
        <is>
          <t>Redacción Global</t>
        </is>
      </c>
      <c r="F303" t="inlineStr">
        <is>
          <t>Traducciones</t>
        </is>
      </c>
      <c r="G303" t="inlineStr">
        <is>
          <t>Retainer trimestral</t>
        </is>
      </c>
      <c r="H303" t="inlineStr">
        <is>
          <t>Freelancers para traducciones</t>
        </is>
      </c>
      <c r="I303" s="5" t="n">
        <v>4718.11</v>
      </c>
      <c r="J303" s="3" t="n">
        <v>0.21</v>
      </c>
      <c r="K303" s="5">
        <f>ROUND(I303*(1+J303),2)</f>
        <v/>
      </c>
      <c r="L303" t="inlineStr">
        <is>
          <t>Variable</t>
        </is>
      </c>
      <c r="M303" t="inlineStr">
        <is>
          <t>Administración</t>
        </is>
      </c>
      <c r="N303" t="inlineStr">
        <is>
          <t>Portal corporativo</t>
        </is>
      </c>
    </row>
    <row r="304">
      <c r="A304" t="inlineStr">
        <is>
          <t>GAS-0303</t>
        </is>
      </c>
      <c r="B304" s="2" t="n">
        <v>45581</v>
      </c>
      <c r="C304" t="inlineStr">
        <is>
          <t>Marketing</t>
        </is>
      </c>
      <c r="D304" t="inlineStr">
        <is>
          <t>Ads Google</t>
        </is>
      </c>
      <c r="E304" t="inlineStr">
        <is>
          <t>NominaPlus</t>
        </is>
      </c>
      <c r="F304" t="inlineStr">
        <is>
          <t>Anuncios prensa</t>
        </is>
      </c>
      <c r="G304" t="inlineStr">
        <is>
          <t>Soporte anual</t>
        </is>
      </c>
      <c r="H304" t="inlineStr">
        <is>
          <t>Ads Google para anuncios prensa</t>
        </is>
      </c>
      <c r="I304" s="5" t="n">
        <v>11475.6</v>
      </c>
      <c r="J304" s="3" t="n">
        <v>0.1</v>
      </c>
      <c r="K304" s="5">
        <f>ROUND(I304*(1+J304),2)</f>
        <v/>
      </c>
      <c r="L304" t="inlineStr">
        <is>
          <t>Variable</t>
        </is>
      </c>
      <c r="M304" t="inlineStr">
        <is>
          <t>Administración</t>
        </is>
      </c>
      <c r="N304" t="inlineStr">
        <is>
          <t>Intranet comercial</t>
        </is>
      </c>
    </row>
    <row r="305">
      <c r="A305" t="inlineStr">
        <is>
          <t>GAS-0304</t>
        </is>
      </c>
      <c r="B305" s="2" t="n">
        <v>45416</v>
      </c>
      <c r="C305" t="inlineStr">
        <is>
          <t>Operaciones</t>
        </is>
      </c>
      <c r="D305" t="inlineStr">
        <is>
          <t>Freelancers</t>
        </is>
      </c>
      <c r="E305" t="inlineStr">
        <is>
          <t>AdVision</t>
        </is>
      </c>
      <c r="F305" t="inlineStr">
        <is>
          <t>Anuncios internet</t>
        </is>
      </c>
      <c r="G305" t="inlineStr">
        <is>
          <t>Proyecto puntual</t>
        </is>
      </c>
      <c r="H305" t="inlineStr">
        <is>
          <t>Freelancers para anuncios internet</t>
        </is>
      </c>
      <c r="I305" s="5" t="n">
        <v>1290.89</v>
      </c>
      <c r="J305" s="3" t="n">
        <v>0.21</v>
      </c>
      <c r="K305" s="5">
        <f>ROUND(I305*(1+J305),2)</f>
        <v/>
      </c>
      <c r="L305" t="inlineStr">
        <is>
          <t>Fijo</t>
        </is>
      </c>
      <c r="M305" t="inlineStr">
        <is>
          <t>Marketing</t>
        </is>
      </c>
      <c r="N305" t="inlineStr">
        <is>
          <t>Portal internacional</t>
        </is>
      </c>
    </row>
    <row r="306">
      <c r="A306" t="inlineStr">
        <is>
          <t>GAS-0305</t>
        </is>
      </c>
      <c r="B306" s="2" t="n">
        <v>45331</v>
      </c>
      <c r="C306" t="inlineStr">
        <is>
          <t>Marketing</t>
        </is>
      </c>
      <c r="D306" t="inlineStr">
        <is>
          <t>Ads LinkedIn</t>
        </is>
      </c>
      <c r="E306" t="inlineStr">
        <is>
          <t>AdVision</t>
        </is>
      </c>
      <c r="F306" t="inlineStr">
        <is>
          <t>Mantenimiento intranets</t>
        </is>
      </c>
      <c r="G306" t="inlineStr">
        <is>
          <t>Campaña</t>
        </is>
      </c>
      <c r="H306" t="inlineStr">
        <is>
          <t>Ads LinkedIn para mantenimiento intranets</t>
        </is>
      </c>
      <c r="I306" s="5" t="n">
        <v>5096.13</v>
      </c>
      <c r="J306" s="3" t="n">
        <v>0.1</v>
      </c>
      <c r="K306" s="5">
        <f>ROUND(I306*(1+J306),2)</f>
        <v/>
      </c>
      <c r="L306" t="inlineStr">
        <is>
          <t>Fijo</t>
        </is>
      </c>
      <c r="M306" t="inlineStr">
        <is>
          <t>Marketing</t>
        </is>
      </c>
      <c r="N306" t="inlineStr">
        <is>
          <t>Microsite RRHH</t>
        </is>
      </c>
    </row>
    <row r="307">
      <c r="A307" t="inlineStr">
        <is>
          <t>GAS-0306</t>
        </is>
      </c>
      <c r="B307" s="2" t="n">
        <v>45699</v>
      </c>
      <c r="C307" t="inlineStr">
        <is>
          <t>Personal</t>
        </is>
      </c>
      <c r="D307" t="inlineStr">
        <is>
          <t>Salarios</t>
        </is>
      </c>
      <c r="E307" t="inlineStr">
        <is>
          <t>IntraSys</t>
        </is>
      </c>
      <c r="F307" t="inlineStr">
        <is>
          <t>Anuncios TV</t>
        </is>
      </c>
      <c r="G307" t="inlineStr">
        <is>
          <t>Retainer trimestral</t>
        </is>
      </c>
      <c r="H307" t="inlineStr">
        <is>
          <t>Salarios para anuncios tv</t>
        </is>
      </c>
      <c r="I307" s="5" t="n">
        <v>2988.09</v>
      </c>
      <c r="J307" s="3" t="n">
        <v>0.21</v>
      </c>
      <c r="K307" s="5">
        <f>ROUND(I307*(1+J307),2)</f>
        <v/>
      </c>
      <c r="L307" t="inlineStr">
        <is>
          <t>Fijo</t>
        </is>
      </c>
      <c r="M307" t="inlineStr">
        <is>
          <t>Operaciones</t>
        </is>
      </c>
      <c r="N307" t="inlineStr">
        <is>
          <t>Microsite RRHH</t>
        </is>
      </c>
    </row>
    <row r="308">
      <c r="A308" t="inlineStr">
        <is>
          <t>GAS-0307</t>
        </is>
      </c>
      <c r="B308" s="2" t="n">
        <v>45353</v>
      </c>
      <c r="C308" t="inlineStr">
        <is>
          <t>Tecnología</t>
        </is>
      </c>
      <c r="D308" t="inlineStr">
        <is>
          <t>Licencias CMS</t>
        </is>
      </c>
      <c r="E308" t="inlineStr">
        <is>
          <t>TVSpot Studio</t>
        </is>
      </c>
      <c r="F308" t="inlineStr">
        <is>
          <t>Anuncios internet</t>
        </is>
      </c>
      <c r="G308" t="inlineStr">
        <is>
          <t>Retainer trimestral</t>
        </is>
      </c>
      <c r="H308" t="inlineStr">
        <is>
          <t>Licencias CMS para anuncios internet</t>
        </is>
      </c>
      <c r="I308" s="5" t="n">
        <v>1872.54</v>
      </c>
      <c r="J308" s="3" t="n">
        <v>0.1</v>
      </c>
      <c r="K308" s="5">
        <f>ROUND(I308*(1+J308),2)</f>
        <v/>
      </c>
      <c r="L308" t="inlineStr">
        <is>
          <t>Variable</t>
        </is>
      </c>
      <c r="M308" t="inlineStr">
        <is>
          <t>Operaciones</t>
        </is>
      </c>
      <c r="N308" t="inlineStr">
        <is>
          <t>Sección noticias</t>
        </is>
      </c>
    </row>
    <row r="309">
      <c r="A309" t="inlineStr">
        <is>
          <t>GAS-0308</t>
        </is>
      </c>
      <c r="B309" s="2" t="n">
        <v>45508</v>
      </c>
      <c r="C309" t="inlineStr">
        <is>
          <t>Operaciones</t>
        </is>
      </c>
      <c r="D309" t="inlineStr">
        <is>
          <t>QA intranet</t>
        </is>
      </c>
      <c r="E309" t="inlineStr">
        <is>
          <t>AdVision</t>
        </is>
      </c>
      <c r="F309" t="inlineStr">
        <is>
          <t>Mantenimiento web</t>
        </is>
      </c>
      <c r="G309" t="inlineStr">
        <is>
          <t>Proyecto puntual</t>
        </is>
      </c>
      <c r="H309" t="inlineStr">
        <is>
          <t>QA intranet para mantenimiento web</t>
        </is>
      </c>
      <c r="I309" s="5" t="n">
        <v>5221.25</v>
      </c>
      <c r="J309" s="3" t="n">
        <v>0.21</v>
      </c>
      <c r="K309" s="5">
        <f>ROUND(I309*(1+J309),2)</f>
        <v/>
      </c>
      <c r="L309" t="inlineStr">
        <is>
          <t>Fijo</t>
        </is>
      </c>
      <c r="M309" t="inlineStr">
        <is>
          <t>Tecnología</t>
        </is>
      </c>
      <c r="N309" t="inlineStr">
        <is>
          <t>Intranet comercial</t>
        </is>
      </c>
    </row>
    <row r="310">
      <c r="A310" t="inlineStr">
        <is>
          <t>GAS-0309</t>
        </is>
      </c>
      <c r="B310" s="2" t="n">
        <v>45501</v>
      </c>
      <c r="C310" t="inlineStr">
        <is>
          <t>Personal</t>
        </is>
      </c>
      <c r="D310" t="inlineStr">
        <is>
          <t>Seguridad Social</t>
        </is>
      </c>
      <c r="E310" t="inlineStr">
        <is>
          <t>SEO Metrics</t>
        </is>
      </c>
      <c r="F310" t="inlineStr">
        <is>
          <t>Traducciones</t>
        </is>
      </c>
      <c r="G310" t="inlineStr">
        <is>
          <t>Campaña</t>
        </is>
      </c>
      <c r="H310" t="inlineStr">
        <is>
          <t>Seguridad Social para traducciones</t>
        </is>
      </c>
      <c r="I310" s="5" t="n">
        <v>8457.18</v>
      </c>
      <c r="J310" s="3" t="n">
        <v>0.21</v>
      </c>
      <c r="K310" s="5">
        <f>ROUND(I310*(1+J310),2)</f>
        <v/>
      </c>
      <c r="L310" t="inlineStr">
        <is>
          <t>Variable</t>
        </is>
      </c>
      <c r="M310" t="inlineStr">
        <is>
          <t>Marketing</t>
        </is>
      </c>
      <c r="N310" t="inlineStr">
        <is>
          <t>Sección noticias</t>
        </is>
      </c>
    </row>
    <row r="311">
      <c r="A311" t="inlineStr">
        <is>
          <t>GAS-0310</t>
        </is>
      </c>
      <c r="B311" s="2" t="n">
        <v>45486</v>
      </c>
      <c r="C311" t="inlineStr">
        <is>
          <t>Marketing</t>
        </is>
      </c>
      <c r="D311" t="inlineStr">
        <is>
          <t>Diseño creativo</t>
        </is>
      </c>
      <c r="E311" t="inlineStr">
        <is>
          <t>AdVision</t>
        </is>
      </c>
      <c r="F311" t="inlineStr">
        <is>
          <t>Anuncios TV</t>
        </is>
      </c>
      <c r="G311" t="inlineStr">
        <is>
          <t>Campaña</t>
        </is>
      </c>
      <c r="H311" t="inlineStr">
        <is>
          <t>Diseño creativo para anuncios tv</t>
        </is>
      </c>
      <c r="I311" s="5" t="n">
        <v>7244.57</v>
      </c>
      <c r="J311" s="3" t="n">
        <v>0.21</v>
      </c>
      <c r="K311" s="5">
        <f>ROUND(I311*(1+J311),2)</f>
        <v/>
      </c>
      <c r="L311" t="inlineStr">
        <is>
          <t>Variable</t>
        </is>
      </c>
      <c r="M311" t="inlineStr">
        <is>
          <t>Operaciones</t>
        </is>
      </c>
      <c r="N311" t="inlineStr">
        <is>
          <t>Campaña empleo</t>
        </is>
      </c>
    </row>
    <row r="312">
      <c r="A312" t="inlineStr">
        <is>
          <t>GAS-0311</t>
        </is>
      </c>
      <c r="B312" s="2" t="n">
        <v>45457</v>
      </c>
      <c r="C312" t="inlineStr">
        <is>
          <t>Personal</t>
        </is>
      </c>
      <c r="D312" t="inlineStr">
        <is>
          <t>Seguridad Social</t>
        </is>
      </c>
      <c r="E312" t="inlineStr">
        <is>
          <t>TVSpot Studio</t>
        </is>
      </c>
      <c r="F312" t="inlineStr">
        <is>
          <t>Mantenimiento web</t>
        </is>
      </c>
      <c r="G312" t="inlineStr">
        <is>
          <t>Retainer trimestral</t>
        </is>
      </c>
      <c r="H312" t="inlineStr">
        <is>
          <t>Seguridad Social para mantenimiento web</t>
        </is>
      </c>
      <c r="I312" s="5" t="n">
        <v>5318.16</v>
      </c>
      <c r="J312" s="3" t="n">
        <v>0.21</v>
      </c>
      <c r="K312" s="5">
        <f>ROUND(I312*(1+J312),2)</f>
        <v/>
      </c>
      <c r="L312" t="inlineStr">
        <is>
          <t>Fijo</t>
        </is>
      </c>
      <c r="M312" t="inlineStr">
        <is>
          <t>Operaciones</t>
        </is>
      </c>
      <c r="N312" t="inlineStr">
        <is>
          <t>Campaña empleo</t>
        </is>
      </c>
    </row>
    <row r="313">
      <c r="A313" t="inlineStr">
        <is>
          <t>GAS-0312</t>
        </is>
      </c>
      <c r="B313" s="2" t="n">
        <v>45745</v>
      </c>
      <c r="C313" t="inlineStr">
        <is>
          <t>Tecnología</t>
        </is>
      </c>
      <c r="D313" t="inlineStr">
        <is>
          <t>Herramientas SEO</t>
        </is>
      </c>
      <c r="E313" t="inlineStr">
        <is>
          <t>MediaCloud</t>
        </is>
      </c>
      <c r="F313" t="inlineStr">
        <is>
          <t>Anuncios RRHH</t>
        </is>
      </c>
      <c r="G313" t="inlineStr">
        <is>
          <t>Retainer trimestral</t>
        </is>
      </c>
      <c r="H313" t="inlineStr">
        <is>
          <t>Herramientas SEO para anuncios rrhh</t>
        </is>
      </c>
      <c r="I313" s="5" t="n">
        <v>740.72</v>
      </c>
      <c r="J313" s="3" t="n">
        <v>0.21</v>
      </c>
      <c r="K313" s="5">
        <f>ROUND(I313*(1+J313),2)</f>
        <v/>
      </c>
      <c r="L313" t="inlineStr">
        <is>
          <t>Fijo</t>
        </is>
      </c>
      <c r="M313" t="inlineStr">
        <is>
          <t>Comercial</t>
        </is>
      </c>
      <c r="N313" t="inlineStr">
        <is>
          <t>Centro de prensa</t>
        </is>
      </c>
    </row>
    <row r="314">
      <c r="A314" t="inlineStr">
        <is>
          <t>GAS-0313</t>
        </is>
      </c>
      <c r="B314" s="2" t="n">
        <v>45568</v>
      </c>
      <c r="C314" t="inlineStr">
        <is>
          <t>Personal</t>
        </is>
      </c>
      <c r="D314" t="inlineStr">
        <is>
          <t>Salarios</t>
        </is>
      </c>
      <c r="E314" t="inlineStr">
        <is>
          <t>NominaPlus</t>
        </is>
      </c>
      <c r="F314" t="inlineStr">
        <is>
          <t>Anuncios TV</t>
        </is>
      </c>
      <c r="G314" t="inlineStr">
        <is>
          <t>Proyecto puntual</t>
        </is>
      </c>
      <c r="H314" t="inlineStr">
        <is>
          <t>Salarios para anuncios tv</t>
        </is>
      </c>
      <c r="I314" s="5" t="n">
        <v>7323.17</v>
      </c>
      <c r="J314" s="3" t="n">
        <v>0</v>
      </c>
      <c r="K314" s="5">
        <f>ROUND(I314*(1+J314),2)</f>
        <v/>
      </c>
      <c r="L314" t="inlineStr">
        <is>
          <t>Variable</t>
        </is>
      </c>
      <c r="M314" t="inlineStr">
        <is>
          <t>Operaciones</t>
        </is>
      </c>
      <c r="N314" t="inlineStr">
        <is>
          <t>Portal internacional</t>
        </is>
      </c>
    </row>
    <row r="315">
      <c r="A315" t="inlineStr">
        <is>
          <t>GAS-0314</t>
        </is>
      </c>
      <c r="B315" s="2" t="n">
        <v>45653</v>
      </c>
      <c r="C315" t="inlineStr">
        <is>
          <t>Personal</t>
        </is>
      </c>
      <c r="D315" t="inlineStr">
        <is>
          <t>Formación</t>
        </is>
      </c>
      <c r="E315" t="inlineStr">
        <is>
          <t>LinguaTech</t>
        </is>
      </c>
      <c r="F315" t="inlineStr">
        <is>
          <t>Anuncios prensa</t>
        </is>
      </c>
      <c r="G315" t="inlineStr">
        <is>
          <t>Campaña</t>
        </is>
      </c>
      <c r="H315" t="inlineStr">
        <is>
          <t>Formación para anuncios prensa</t>
        </is>
      </c>
      <c r="I315" s="5" t="n">
        <v>6544.25</v>
      </c>
      <c r="J315" s="3" t="n">
        <v>0.21</v>
      </c>
      <c r="K315" s="5">
        <f>ROUND(I315*(1+J315),2)</f>
        <v/>
      </c>
      <c r="L315" t="inlineStr">
        <is>
          <t>Variable</t>
        </is>
      </c>
      <c r="M315" t="inlineStr">
        <is>
          <t>Tecnología</t>
        </is>
      </c>
      <c r="N315" t="inlineStr">
        <is>
          <t>Intranet comercial</t>
        </is>
      </c>
    </row>
    <row r="316">
      <c r="A316" t="inlineStr">
        <is>
          <t>GAS-0315</t>
        </is>
      </c>
      <c r="B316" s="2" t="n">
        <v>45372</v>
      </c>
      <c r="C316" t="inlineStr">
        <is>
          <t>Operaciones</t>
        </is>
      </c>
      <c r="D316" t="inlineStr">
        <is>
          <t>Subtitulación</t>
        </is>
      </c>
      <c r="E316" t="inlineStr">
        <is>
          <t>NominaPlus</t>
        </is>
      </c>
      <c r="F316" t="inlineStr">
        <is>
          <t>Traducciones</t>
        </is>
      </c>
      <c r="G316" t="inlineStr">
        <is>
          <t>Retainer trimestral</t>
        </is>
      </c>
      <c r="H316" t="inlineStr">
        <is>
          <t>Subtitulación para traducciones</t>
        </is>
      </c>
      <c r="I316" s="5" t="n">
        <v>1451.28</v>
      </c>
      <c r="J316" s="3" t="n">
        <v>0.21</v>
      </c>
      <c r="K316" s="5">
        <f>ROUND(I316*(1+J316),2)</f>
        <v/>
      </c>
      <c r="L316" t="inlineStr">
        <is>
          <t>Variable</t>
        </is>
      </c>
      <c r="M316" t="inlineStr">
        <is>
          <t>Administración</t>
        </is>
      </c>
      <c r="N316" t="inlineStr">
        <is>
          <t>Intranet comercial</t>
        </is>
      </c>
    </row>
    <row r="317">
      <c r="A317" t="inlineStr">
        <is>
          <t>GAS-0316</t>
        </is>
      </c>
      <c r="B317" s="2" t="n">
        <v>45630</v>
      </c>
      <c r="C317" t="inlineStr">
        <is>
          <t>Marketing</t>
        </is>
      </c>
      <c r="D317" t="inlineStr">
        <is>
          <t>Ads prensa local</t>
        </is>
      </c>
      <c r="E317" t="inlineStr">
        <is>
          <t>SEO Metrics</t>
        </is>
      </c>
      <c r="F317" t="inlineStr">
        <is>
          <t>Mantenimiento web</t>
        </is>
      </c>
      <c r="G317" t="inlineStr">
        <is>
          <t>Suscripción mensual</t>
        </is>
      </c>
      <c r="H317" t="inlineStr">
        <is>
          <t>Ads prensa local para mantenimiento web</t>
        </is>
      </c>
      <c r="I317" s="5" t="n">
        <v>9592.110000000001</v>
      </c>
      <c r="J317" s="3" t="n">
        <v>0</v>
      </c>
      <c r="K317" s="5">
        <f>ROUND(I317*(1+J317),2)</f>
        <v/>
      </c>
      <c r="L317" t="inlineStr">
        <is>
          <t>Fijo</t>
        </is>
      </c>
      <c r="M317" t="inlineStr">
        <is>
          <t>Comercial</t>
        </is>
      </c>
      <c r="N317" t="inlineStr">
        <is>
          <t>Microsite RRHH</t>
        </is>
      </c>
    </row>
    <row r="318">
      <c r="A318" t="inlineStr">
        <is>
          <t>GAS-0317</t>
        </is>
      </c>
      <c r="B318" s="2" t="n">
        <v>45393</v>
      </c>
      <c r="C318" t="inlineStr">
        <is>
          <t>Operaciones</t>
        </is>
      </c>
      <c r="D318" t="inlineStr">
        <is>
          <t>Revisión editorial</t>
        </is>
      </c>
      <c r="E318" t="inlineStr">
        <is>
          <t>SEO Metrics</t>
        </is>
      </c>
      <c r="F318" t="inlineStr">
        <is>
          <t>Mantenimiento intranets</t>
        </is>
      </c>
      <c r="G318" t="inlineStr">
        <is>
          <t>Suscripción mensual</t>
        </is>
      </c>
      <c r="H318" t="inlineStr">
        <is>
          <t>Revisión editorial para mantenimiento intranets</t>
        </is>
      </c>
      <c r="I318" s="5" t="n">
        <v>4441.33</v>
      </c>
      <c r="J318" s="3" t="n">
        <v>0.1</v>
      </c>
      <c r="K318" s="5">
        <f>ROUND(I318*(1+J318),2)</f>
        <v/>
      </c>
      <c r="L318" t="inlineStr">
        <is>
          <t>Fijo</t>
        </is>
      </c>
      <c r="M318" t="inlineStr">
        <is>
          <t>Operaciones</t>
        </is>
      </c>
      <c r="N318" t="inlineStr">
        <is>
          <t>Microsite RRHH</t>
        </is>
      </c>
    </row>
    <row r="319">
      <c r="A319" t="inlineStr">
        <is>
          <t>GAS-0318</t>
        </is>
      </c>
      <c r="B319" s="2" t="n">
        <v>45412</v>
      </c>
      <c r="C319" t="inlineStr">
        <is>
          <t>Personal</t>
        </is>
      </c>
      <c r="D319" t="inlineStr">
        <is>
          <t>Formación</t>
        </is>
      </c>
      <c r="E319" t="inlineStr">
        <is>
          <t>SEO Metrics</t>
        </is>
      </c>
      <c r="F319" t="inlineStr">
        <is>
          <t>Mantenimiento intranets</t>
        </is>
      </c>
      <c r="G319" t="inlineStr">
        <is>
          <t>Retainer trimestral</t>
        </is>
      </c>
      <c r="H319" t="inlineStr">
        <is>
          <t>Formación para mantenimiento intranets</t>
        </is>
      </c>
      <c r="I319" s="5" t="n">
        <v>6382.93</v>
      </c>
      <c r="J319" s="3" t="n">
        <v>0.21</v>
      </c>
      <c r="K319" s="5">
        <f>ROUND(I319*(1+J319),2)</f>
        <v/>
      </c>
      <c r="L319" t="inlineStr">
        <is>
          <t>Fijo</t>
        </is>
      </c>
      <c r="M319" t="inlineStr">
        <is>
          <t>Tecnología</t>
        </is>
      </c>
      <c r="N319" t="inlineStr">
        <is>
          <t>Campaña empleo</t>
        </is>
      </c>
    </row>
    <row r="320">
      <c r="A320" t="inlineStr">
        <is>
          <t>GAS-0319</t>
        </is>
      </c>
      <c r="B320" s="2" t="n">
        <v>45349</v>
      </c>
      <c r="C320" t="inlineStr">
        <is>
          <t>Operaciones</t>
        </is>
      </c>
      <c r="D320" t="inlineStr">
        <is>
          <t>QA intranet</t>
        </is>
      </c>
      <c r="E320" t="inlineStr">
        <is>
          <t>IntraSys</t>
        </is>
      </c>
      <c r="F320" t="inlineStr">
        <is>
          <t>Anuncios internet</t>
        </is>
      </c>
      <c r="G320" t="inlineStr">
        <is>
          <t>Campaña</t>
        </is>
      </c>
      <c r="H320" t="inlineStr">
        <is>
          <t>QA intranet para anuncios internet</t>
        </is>
      </c>
      <c r="I320" s="5" t="n">
        <v>2963.61</v>
      </c>
      <c r="J320" s="3" t="n">
        <v>0.21</v>
      </c>
      <c r="K320" s="5">
        <f>ROUND(I320*(1+J320),2)</f>
        <v/>
      </c>
      <c r="L320" t="inlineStr">
        <is>
          <t>Variable</t>
        </is>
      </c>
      <c r="M320" t="inlineStr">
        <is>
          <t>Comercial</t>
        </is>
      </c>
      <c r="N320" t="inlineStr">
        <is>
          <t>Microsite RRHH</t>
        </is>
      </c>
    </row>
    <row r="321">
      <c r="A321" t="inlineStr">
        <is>
          <t>GAS-0320</t>
        </is>
      </c>
      <c r="B321" s="2" t="n">
        <v>45722</v>
      </c>
      <c r="C321" t="inlineStr">
        <is>
          <t>Personal</t>
        </is>
      </c>
      <c r="D321" t="inlineStr">
        <is>
          <t>Seguridad Social</t>
        </is>
      </c>
      <c r="E321" t="inlineStr">
        <is>
          <t>Legal Iberia</t>
        </is>
      </c>
      <c r="F321" t="inlineStr">
        <is>
          <t>Anuncios RRHH</t>
        </is>
      </c>
      <c r="G321" t="inlineStr">
        <is>
          <t>Soporte anual</t>
        </is>
      </c>
      <c r="H321" t="inlineStr">
        <is>
          <t>Seguridad Social para anuncios rrhh</t>
        </is>
      </c>
      <c r="I321" s="5" t="n">
        <v>6022.47</v>
      </c>
      <c r="J321" s="3" t="n">
        <v>0.21</v>
      </c>
      <c r="K321" s="5">
        <f>ROUND(I321*(1+J321),2)</f>
        <v/>
      </c>
      <c r="L321" t="inlineStr">
        <is>
          <t>Fijo</t>
        </is>
      </c>
      <c r="M321" t="inlineStr">
        <is>
          <t>Operaciones</t>
        </is>
      </c>
      <c r="N321" t="inlineStr">
        <is>
          <t>Centro de prensa</t>
        </is>
      </c>
    </row>
    <row r="322">
      <c r="A322" t="inlineStr">
        <is>
          <t>GAS-0321</t>
        </is>
      </c>
      <c r="B322" s="2" t="n">
        <v>45518</v>
      </c>
      <c r="C322" t="inlineStr">
        <is>
          <t>Personal</t>
        </is>
      </c>
      <c r="D322" t="inlineStr">
        <is>
          <t>Salarios</t>
        </is>
      </c>
      <c r="E322" t="inlineStr">
        <is>
          <t>TVSpot Studio</t>
        </is>
      </c>
      <c r="F322" t="inlineStr">
        <is>
          <t>Anuncios prensa</t>
        </is>
      </c>
      <c r="G322" t="inlineStr">
        <is>
          <t>Campaña</t>
        </is>
      </c>
      <c r="H322" t="inlineStr">
        <is>
          <t>Salarios para anuncios prensa</t>
        </is>
      </c>
      <c r="I322" s="5" t="n">
        <v>1643.86</v>
      </c>
      <c r="J322" s="3" t="n">
        <v>0.21</v>
      </c>
      <c r="K322" s="5">
        <f>ROUND(I322*(1+J322),2)</f>
        <v/>
      </c>
      <c r="L322" t="inlineStr">
        <is>
          <t>Fijo</t>
        </is>
      </c>
      <c r="M322" t="inlineStr">
        <is>
          <t>Tecnología</t>
        </is>
      </c>
      <c r="N322" t="inlineStr">
        <is>
          <t>Intranet operaciones</t>
        </is>
      </c>
    </row>
    <row r="323">
      <c r="A323" t="inlineStr">
        <is>
          <t>GAS-0322</t>
        </is>
      </c>
      <c r="B323" s="2" t="n">
        <v>45612</v>
      </c>
      <c r="C323" t="inlineStr">
        <is>
          <t>Marketing</t>
        </is>
      </c>
      <c r="D323" t="inlineStr">
        <is>
          <t>Ads prensa local</t>
        </is>
      </c>
      <c r="E323" t="inlineStr">
        <is>
          <t>LinguaTech</t>
        </is>
      </c>
      <c r="F323" t="inlineStr">
        <is>
          <t>Mantenimiento web</t>
        </is>
      </c>
      <c r="G323" t="inlineStr">
        <is>
          <t>Soporte anual</t>
        </is>
      </c>
      <c r="H323" t="inlineStr">
        <is>
          <t>Ads prensa local para mantenimiento web</t>
        </is>
      </c>
      <c r="I323" s="5" t="n">
        <v>6998.32</v>
      </c>
      <c r="J323" s="3" t="n">
        <v>0.1</v>
      </c>
      <c r="K323" s="5">
        <f>ROUND(I323*(1+J323),2)</f>
        <v/>
      </c>
      <c r="L323" t="inlineStr">
        <is>
          <t>Variable</t>
        </is>
      </c>
      <c r="M323" t="inlineStr">
        <is>
          <t>Comercial</t>
        </is>
      </c>
      <c r="N323" t="inlineStr">
        <is>
          <t>Portal corporativo</t>
        </is>
      </c>
    </row>
    <row r="324">
      <c r="A324" t="inlineStr">
        <is>
          <t>GAS-0323</t>
        </is>
      </c>
      <c r="B324" s="2" t="n">
        <v>45627</v>
      </c>
      <c r="C324" t="inlineStr">
        <is>
          <t>Administración</t>
        </is>
      </c>
      <c r="D324" t="inlineStr">
        <is>
          <t>Alquiler oficina</t>
        </is>
      </c>
      <c r="E324" t="inlineStr">
        <is>
          <t>Acme Hosting</t>
        </is>
      </c>
      <c r="F324" t="inlineStr">
        <is>
          <t>Anuncios prensa</t>
        </is>
      </c>
      <c r="G324" t="inlineStr">
        <is>
          <t>Soporte anual</t>
        </is>
      </c>
      <c r="H324" t="inlineStr">
        <is>
          <t>Alquiler oficina para anuncios prensa</t>
        </is>
      </c>
      <c r="I324" s="5" t="n">
        <v>1979.84</v>
      </c>
      <c r="J324" s="3" t="n">
        <v>0.21</v>
      </c>
      <c r="K324" s="5">
        <f>ROUND(I324*(1+J324),2)</f>
        <v/>
      </c>
      <c r="L324" t="inlineStr">
        <is>
          <t>Variable</t>
        </is>
      </c>
      <c r="M324" t="inlineStr">
        <is>
          <t>Administración</t>
        </is>
      </c>
      <c r="N324" t="inlineStr">
        <is>
          <t>Campaña empleo</t>
        </is>
      </c>
    </row>
    <row r="325">
      <c r="A325" t="inlineStr">
        <is>
          <t>GAS-0324</t>
        </is>
      </c>
      <c r="B325" s="2" t="n">
        <v>45402</v>
      </c>
      <c r="C325" t="inlineStr">
        <is>
          <t>Administración</t>
        </is>
      </c>
      <c r="D325" t="inlineStr">
        <is>
          <t>Seguros</t>
        </is>
      </c>
      <c r="E325" t="inlineStr">
        <is>
          <t>NominaPlus</t>
        </is>
      </c>
      <c r="F325" t="inlineStr">
        <is>
          <t>Anuncios prensa</t>
        </is>
      </c>
      <c r="G325" t="inlineStr">
        <is>
          <t>Proyecto puntual</t>
        </is>
      </c>
      <c r="H325" t="inlineStr">
        <is>
          <t>Seguros para anuncios prensa</t>
        </is>
      </c>
      <c r="I325" s="5" t="n">
        <v>1227.11</v>
      </c>
      <c r="J325" s="3" t="n">
        <v>0</v>
      </c>
      <c r="K325" s="5">
        <f>ROUND(I325*(1+J325),2)</f>
        <v/>
      </c>
      <c r="L325" t="inlineStr">
        <is>
          <t>Fijo</t>
        </is>
      </c>
      <c r="M325" t="inlineStr">
        <is>
          <t>Operaciones</t>
        </is>
      </c>
      <c r="N325" t="inlineStr">
        <is>
          <t>Intranet comercial</t>
        </is>
      </c>
    </row>
    <row r="326">
      <c r="A326" t="inlineStr">
        <is>
          <t>GAS-0325</t>
        </is>
      </c>
      <c r="B326" s="2" t="n">
        <v>45431</v>
      </c>
      <c r="C326" t="inlineStr">
        <is>
          <t>Tecnología</t>
        </is>
      </c>
      <c r="D326" t="inlineStr">
        <is>
          <t>Software traducción</t>
        </is>
      </c>
      <c r="E326" t="inlineStr">
        <is>
          <t>Redacción Global</t>
        </is>
      </c>
      <c r="F326" t="inlineStr">
        <is>
          <t>Mantenimiento web</t>
        </is>
      </c>
      <c r="G326" t="inlineStr">
        <is>
          <t>Suscripción mensual</t>
        </is>
      </c>
      <c r="H326" t="inlineStr">
        <is>
          <t>Software traducción para mantenimiento web</t>
        </is>
      </c>
      <c r="I326" s="5" t="n">
        <v>779.4</v>
      </c>
      <c r="J326" s="3" t="n">
        <v>0.21</v>
      </c>
      <c r="K326" s="5">
        <f>ROUND(I326*(1+J326),2)</f>
        <v/>
      </c>
      <c r="L326" t="inlineStr">
        <is>
          <t>Variable</t>
        </is>
      </c>
      <c r="M326" t="inlineStr">
        <is>
          <t>Comercial</t>
        </is>
      </c>
      <c r="N326" t="inlineStr">
        <is>
          <t>Centro de prensa</t>
        </is>
      </c>
    </row>
    <row r="327">
      <c r="A327" t="inlineStr">
        <is>
          <t>GAS-0326</t>
        </is>
      </c>
      <c r="B327" s="2" t="n">
        <v>45569</v>
      </c>
      <c r="C327" t="inlineStr">
        <is>
          <t>Operaciones</t>
        </is>
      </c>
      <c r="D327" t="inlineStr">
        <is>
          <t>Freelancers</t>
        </is>
      </c>
      <c r="E327" t="inlineStr">
        <is>
          <t>CloudPulse</t>
        </is>
      </c>
      <c r="F327" t="inlineStr">
        <is>
          <t>Traducciones</t>
        </is>
      </c>
      <c r="G327" t="inlineStr">
        <is>
          <t>Proyecto puntual</t>
        </is>
      </c>
      <c r="H327" t="inlineStr">
        <is>
          <t>Freelancers para traducciones</t>
        </is>
      </c>
      <c r="I327" s="5" t="n">
        <v>267.9</v>
      </c>
      <c r="J327" s="3" t="n">
        <v>0</v>
      </c>
      <c r="K327" s="5">
        <f>ROUND(I327*(1+J327),2)</f>
        <v/>
      </c>
      <c r="L327" t="inlineStr">
        <is>
          <t>Variable</t>
        </is>
      </c>
      <c r="M327" t="inlineStr">
        <is>
          <t>Comercial</t>
        </is>
      </c>
      <c r="N327" t="inlineStr">
        <is>
          <t>Centro de prensa</t>
        </is>
      </c>
    </row>
    <row r="328">
      <c r="A328" t="inlineStr">
        <is>
          <t>GAS-0327</t>
        </is>
      </c>
      <c r="B328" s="2" t="n">
        <v>45587</v>
      </c>
      <c r="C328" t="inlineStr">
        <is>
          <t>Marketing</t>
        </is>
      </c>
      <c r="D328" t="inlineStr">
        <is>
          <t>Producción TV</t>
        </is>
      </c>
      <c r="E328" t="inlineStr">
        <is>
          <t>Legal Iberia</t>
        </is>
      </c>
      <c r="F328" t="inlineStr">
        <is>
          <t>Anuncios TV</t>
        </is>
      </c>
      <c r="G328" t="inlineStr">
        <is>
          <t>Campaña</t>
        </is>
      </c>
      <c r="H328" t="inlineStr">
        <is>
          <t>Producción TV para anuncios tv</t>
        </is>
      </c>
      <c r="I328" s="5" t="n">
        <v>5669.2</v>
      </c>
      <c r="J328" s="3" t="n">
        <v>0.21</v>
      </c>
      <c r="K328" s="5">
        <f>ROUND(I328*(1+J328),2)</f>
        <v/>
      </c>
      <c r="L328" t="inlineStr">
        <is>
          <t>Variable</t>
        </is>
      </c>
      <c r="M328" t="inlineStr">
        <is>
          <t>Operaciones</t>
        </is>
      </c>
      <c r="N328" t="inlineStr">
        <is>
          <t>Campaña empleo</t>
        </is>
      </c>
    </row>
    <row r="329">
      <c r="A329" t="inlineStr">
        <is>
          <t>GAS-0328</t>
        </is>
      </c>
      <c r="B329" s="2" t="n">
        <v>45546</v>
      </c>
      <c r="C329" t="inlineStr">
        <is>
          <t>Administración</t>
        </is>
      </c>
      <c r="D329" t="inlineStr">
        <is>
          <t>Seguros</t>
        </is>
      </c>
      <c r="E329" t="inlineStr">
        <is>
          <t>Redacción Global</t>
        </is>
      </c>
      <c r="F329" t="inlineStr">
        <is>
          <t>Generación de noticias</t>
        </is>
      </c>
      <c r="G329" t="inlineStr">
        <is>
          <t>Campaña</t>
        </is>
      </c>
      <c r="H329" t="inlineStr">
        <is>
          <t>Seguros para generación de noticias</t>
        </is>
      </c>
      <c r="I329" s="5" t="n">
        <v>158.52</v>
      </c>
      <c r="J329" s="3" t="n">
        <v>0.21</v>
      </c>
      <c r="K329" s="5">
        <f>ROUND(I329*(1+J329),2)</f>
        <v/>
      </c>
      <c r="L329" t="inlineStr">
        <is>
          <t>Fijo</t>
        </is>
      </c>
      <c r="M329" t="inlineStr">
        <is>
          <t>Marketing</t>
        </is>
      </c>
      <c r="N329" t="inlineStr">
        <is>
          <t>Campaña empleo</t>
        </is>
      </c>
    </row>
    <row r="330">
      <c r="A330" t="inlineStr">
        <is>
          <t>GAS-0329</t>
        </is>
      </c>
      <c r="B330" s="2" t="n">
        <v>45365</v>
      </c>
      <c r="C330" t="inlineStr">
        <is>
          <t>Tecnología</t>
        </is>
      </c>
      <c r="D330" t="inlineStr">
        <is>
          <t>Hosting</t>
        </is>
      </c>
      <c r="E330" t="inlineStr">
        <is>
          <t>SEO Metrics</t>
        </is>
      </c>
      <c r="F330" t="inlineStr">
        <is>
          <t>Anuncios prensa</t>
        </is>
      </c>
      <c r="G330" t="inlineStr">
        <is>
          <t>Suscripción mensual</t>
        </is>
      </c>
      <c r="H330" t="inlineStr">
        <is>
          <t>Hosting para anuncios prensa</t>
        </is>
      </c>
      <c r="I330" s="5" t="n">
        <v>1117.24</v>
      </c>
      <c r="J330" s="3" t="n">
        <v>0</v>
      </c>
      <c r="K330" s="5">
        <f>ROUND(I330*(1+J330),2)</f>
        <v/>
      </c>
      <c r="L330" t="inlineStr">
        <is>
          <t>Fijo</t>
        </is>
      </c>
      <c r="M330" t="inlineStr">
        <is>
          <t>Comercial</t>
        </is>
      </c>
      <c r="N330" t="inlineStr">
        <is>
          <t>Intranet operaciones</t>
        </is>
      </c>
    </row>
    <row r="331">
      <c r="A331" t="inlineStr">
        <is>
          <t>GAS-0330</t>
        </is>
      </c>
      <c r="B331" s="2" t="n">
        <v>45322</v>
      </c>
      <c r="C331" t="inlineStr">
        <is>
          <t>Tecnología</t>
        </is>
      </c>
      <c r="D331" t="inlineStr">
        <is>
          <t>Hosting</t>
        </is>
      </c>
      <c r="E331" t="inlineStr">
        <is>
          <t>Legal Iberia</t>
        </is>
      </c>
      <c r="F331" t="inlineStr">
        <is>
          <t>Publicación de noticias</t>
        </is>
      </c>
      <c r="G331" t="inlineStr">
        <is>
          <t>Retainer trimestral</t>
        </is>
      </c>
      <c r="H331" t="inlineStr">
        <is>
          <t>Hosting para publicación de noticias</t>
        </is>
      </c>
      <c r="I331" s="5" t="n">
        <v>2024.32</v>
      </c>
      <c r="J331" s="3" t="n">
        <v>0.21</v>
      </c>
      <c r="K331" s="5">
        <f>ROUND(I331*(1+J331),2)</f>
        <v/>
      </c>
      <c r="L331" t="inlineStr">
        <is>
          <t>Variable</t>
        </is>
      </c>
      <c r="M331" t="inlineStr">
        <is>
          <t>Tecnología</t>
        </is>
      </c>
      <c r="N331" t="inlineStr">
        <is>
          <t>Sección noticias</t>
        </is>
      </c>
    </row>
    <row r="332">
      <c r="A332" t="inlineStr">
        <is>
          <t>GAS-0331</t>
        </is>
      </c>
      <c r="B332" s="2" t="n">
        <v>45547</v>
      </c>
      <c r="C332" t="inlineStr">
        <is>
          <t>Personal</t>
        </is>
      </c>
      <c r="D332" t="inlineStr">
        <is>
          <t>Formación</t>
        </is>
      </c>
      <c r="E332" t="inlineStr">
        <is>
          <t>AdVision</t>
        </is>
      </c>
      <c r="F332" t="inlineStr">
        <is>
          <t>Anuncios prensa</t>
        </is>
      </c>
      <c r="G332" t="inlineStr">
        <is>
          <t>Proyecto puntual</t>
        </is>
      </c>
      <c r="H332" t="inlineStr">
        <is>
          <t>Formación para anuncios prensa</t>
        </is>
      </c>
      <c r="I332" s="5" t="n">
        <v>7561.42</v>
      </c>
      <c r="J332" s="3" t="n">
        <v>0.21</v>
      </c>
      <c r="K332" s="5">
        <f>ROUND(I332*(1+J332),2)</f>
        <v/>
      </c>
      <c r="L332" t="inlineStr">
        <is>
          <t>Variable</t>
        </is>
      </c>
      <c r="M332" t="inlineStr">
        <is>
          <t>Marketing</t>
        </is>
      </c>
      <c r="N332" t="inlineStr">
        <is>
          <t>Intranet comercial</t>
        </is>
      </c>
    </row>
    <row r="333">
      <c r="A333" t="inlineStr">
        <is>
          <t>GAS-0332</t>
        </is>
      </c>
      <c r="B333" s="2" t="n">
        <v>45516</v>
      </c>
      <c r="C333" t="inlineStr">
        <is>
          <t>Operaciones</t>
        </is>
      </c>
      <c r="D333" t="inlineStr">
        <is>
          <t>QA intranet</t>
        </is>
      </c>
      <c r="E333" t="inlineStr">
        <is>
          <t>LinguaTech</t>
        </is>
      </c>
      <c r="F333" t="inlineStr">
        <is>
          <t>Traducciones</t>
        </is>
      </c>
      <c r="G333" t="inlineStr">
        <is>
          <t>Suscripción mensual</t>
        </is>
      </c>
      <c r="H333" t="inlineStr">
        <is>
          <t>QA intranet para traducciones</t>
        </is>
      </c>
      <c r="I333" s="5" t="n">
        <v>4526.67</v>
      </c>
      <c r="J333" s="3" t="n">
        <v>0.21</v>
      </c>
      <c r="K333" s="5">
        <f>ROUND(I333*(1+J333),2)</f>
        <v/>
      </c>
      <c r="L333" t="inlineStr">
        <is>
          <t>Variable</t>
        </is>
      </c>
      <c r="M333" t="inlineStr">
        <is>
          <t>Comercial</t>
        </is>
      </c>
      <c r="N333" t="inlineStr">
        <is>
          <t>Intranet operaciones</t>
        </is>
      </c>
    </row>
    <row r="334">
      <c r="A334" t="inlineStr">
        <is>
          <t>GAS-0333</t>
        </is>
      </c>
      <c r="B334" s="2" t="n">
        <v>45638</v>
      </c>
      <c r="C334" t="inlineStr">
        <is>
          <t>Personal</t>
        </is>
      </c>
      <c r="D334" t="inlineStr">
        <is>
          <t>Formación</t>
        </is>
      </c>
      <c r="E334" t="inlineStr">
        <is>
          <t>IntraSys</t>
        </is>
      </c>
      <c r="F334" t="inlineStr">
        <is>
          <t>Anuncios prensa</t>
        </is>
      </c>
      <c r="G334" t="inlineStr">
        <is>
          <t>Soporte anual</t>
        </is>
      </c>
      <c r="H334" t="inlineStr">
        <is>
          <t>Formación para anuncios prensa</t>
        </is>
      </c>
      <c r="I334" s="5" t="n">
        <v>4115.66</v>
      </c>
      <c r="J334" s="3" t="n">
        <v>0.21</v>
      </c>
      <c r="K334" s="5">
        <f>ROUND(I334*(1+J334),2)</f>
        <v/>
      </c>
      <c r="L334" t="inlineStr">
        <is>
          <t>Variable</t>
        </is>
      </c>
      <c r="M334" t="inlineStr">
        <is>
          <t>Administración</t>
        </is>
      </c>
      <c r="N334" t="inlineStr">
        <is>
          <t>Sección noticias</t>
        </is>
      </c>
    </row>
    <row r="335">
      <c r="A335" t="inlineStr">
        <is>
          <t>GAS-0334</t>
        </is>
      </c>
      <c r="B335" s="2" t="n">
        <v>45399</v>
      </c>
      <c r="C335" t="inlineStr">
        <is>
          <t>Personal</t>
        </is>
      </c>
      <c r="D335" t="inlineStr">
        <is>
          <t>Formación</t>
        </is>
      </c>
      <c r="E335" t="inlineStr">
        <is>
          <t>AdVision</t>
        </is>
      </c>
      <c r="F335" t="inlineStr">
        <is>
          <t>Mantenimiento intranets</t>
        </is>
      </c>
      <c r="G335" t="inlineStr">
        <is>
          <t>Proyecto puntual</t>
        </is>
      </c>
      <c r="H335" t="inlineStr">
        <is>
          <t>Formación para mantenimiento intranets</t>
        </is>
      </c>
      <c r="I335" s="5" t="n">
        <v>7060.54</v>
      </c>
      <c r="J335" s="3" t="n">
        <v>0.21</v>
      </c>
      <c r="K335" s="5">
        <f>ROUND(I335*(1+J335),2)</f>
        <v/>
      </c>
      <c r="L335" t="inlineStr">
        <is>
          <t>Variable</t>
        </is>
      </c>
      <c r="M335" t="inlineStr">
        <is>
          <t>Operaciones</t>
        </is>
      </c>
      <c r="N335" t="inlineStr">
        <is>
          <t>Portal internacional</t>
        </is>
      </c>
    </row>
    <row r="336">
      <c r="A336" t="inlineStr">
        <is>
          <t>GAS-0335</t>
        </is>
      </c>
      <c r="B336" s="2" t="n">
        <v>45567</v>
      </c>
      <c r="C336" t="inlineStr">
        <is>
          <t>Tecnología</t>
        </is>
      </c>
      <c r="D336" t="inlineStr">
        <is>
          <t>Licencias CMS</t>
        </is>
      </c>
      <c r="E336" t="inlineStr">
        <is>
          <t>Legal Iberia</t>
        </is>
      </c>
      <c r="F336" t="inlineStr">
        <is>
          <t>Anuncios internet</t>
        </is>
      </c>
      <c r="G336" t="inlineStr">
        <is>
          <t>Retainer trimestral</t>
        </is>
      </c>
      <c r="H336" t="inlineStr">
        <is>
          <t>Licencias CMS para anuncios internet</t>
        </is>
      </c>
      <c r="I336" s="5" t="n">
        <v>2346.58</v>
      </c>
      <c r="J336" s="3" t="n">
        <v>0</v>
      </c>
      <c r="K336" s="5">
        <f>ROUND(I336*(1+J336),2)</f>
        <v/>
      </c>
      <c r="L336" t="inlineStr">
        <is>
          <t>Fijo</t>
        </is>
      </c>
      <c r="M336" t="inlineStr">
        <is>
          <t>Administración</t>
        </is>
      </c>
      <c r="N336" t="inlineStr">
        <is>
          <t>Intranet operaciones</t>
        </is>
      </c>
    </row>
    <row r="337">
      <c r="A337" t="inlineStr">
        <is>
          <t>GAS-0336</t>
        </is>
      </c>
      <c r="B337" s="2" t="n">
        <v>45437</v>
      </c>
      <c r="C337" t="inlineStr">
        <is>
          <t>Tecnología</t>
        </is>
      </c>
      <c r="D337" t="inlineStr">
        <is>
          <t>Hosting</t>
        </is>
      </c>
      <c r="E337" t="inlineStr">
        <is>
          <t>TVSpot Studio</t>
        </is>
      </c>
      <c r="F337" t="inlineStr">
        <is>
          <t>Anuncios RRHH</t>
        </is>
      </c>
      <c r="G337" t="inlineStr">
        <is>
          <t>Soporte anual</t>
        </is>
      </c>
      <c r="H337" t="inlineStr">
        <is>
          <t>Hosting para anuncios rrhh</t>
        </is>
      </c>
      <c r="I337" s="5" t="n">
        <v>2129.36</v>
      </c>
      <c r="J337" s="3" t="n">
        <v>0.21</v>
      </c>
      <c r="K337" s="5">
        <f>ROUND(I337*(1+J337),2)</f>
        <v/>
      </c>
      <c r="L337" t="inlineStr">
        <is>
          <t>Variable</t>
        </is>
      </c>
      <c r="M337" t="inlineStr">
        <is>
          <t>Administración</t>
        </is>
      </c>
      <c r="N337" t="inlineStr">
        <is>
          <t>Microsite RRHH</t>
        </is>
      </c>
    </row>
    <row r="338">
      <c r="A338" t="inlineStr">
        <is>
          <t>GAS-0337</t>
        </is>
      </c>
      <c r="B338" s="2" t="n">
        <v>45356</v>
      </c>
      <c r="C338" t="inlineStr">
        <is>
          <t>Operaciones</t>
        </is>
      </c>
      <c r="D338" t="inlineStr">
        <is>
          <t>Revisión editorial</t>
        </is>
      </c>
      <c r="E338" t="inlineStr">
        <is>
          <t>NominaPlus</t>
        </is>
      </c>
      <c r="F338" t="inlineStr">
        <is>
          <t>Traducciones</t>
        </is>
      </c>
      <c r="G338" t="inlineStr">
        <is>
          <t>Soporte anual</t>
        </is>
      </c>
      <c r="H338" t="inlineStr">
        <is>
          <t>Revisión editorial para traducciones</t>
        </is>
      </c>
      <c r="I338" s="5" t="n">
        <v>1193.2</v>
      </c>
      <c r="J338" s="3" t="n">
        <v>0.21</v>
      </c>
      <c r="K338" s="5">
        <f>ROUND(I338*(1+J338),2)</f>
        <v/>
      </c>
      <c r="L338" t="inlineStr">
        <is>
          <t>Variable</t>
        </is>
      </c>
      <c r="M338" t="inlineStr">
        <is>
          <t>Administración</t>
        </is>
      </c>
      <c r="N338" t="inlineStr">
        <is>
          <t>Centro de prensa</t>
        </is>
      </c>
    </row>
    <row r="339">
      <c r="A339" t="inlineStr">
        <is>
          <t>GAS-0338</t>
        </is>
      </c>
      <c r="B339" s="2" t="n">
        <v>45606</v>
      </c>
      <c r="C339" t="inlineStr">
        <is>
          <t>Administración</t>
        </is>
      </c>
      <c r="D339" t="inlineStr">
        <is>
          <t>Seguros</t>
        </is>
      </c>
      <c r="E339" t="inlineStr">
        <is>
          <t>MediaCloud</t>
        </is>
      </c>
      <c r="F339" t="inlineStr">
        <is>
          <t>Anuncios internet</t>
        </is>
      </c>
      <c r="G339" t="inlineStr">
        <is>
          <t>Proyecto puntual</t>
        </is>
      </c>
      <c r="H339" t="inlineStr">
        <is>
          <t>Seguros para anuncios internet</t>
        </is>
      </c>
      <c r="I339" s="5" t="n">
        <v>3260.46</v>
      </c>
      <c r="J339" s="3" t="n">
        <v>0.21</v>
      </c>
      <c r="K339" s="5">
        <f>ROUND(I339*(1+J339),2)</f>
        <v/>
      </c>
      <c r="L339" t="inlineStr">
        <is>
          <t>Variable</t>
        </is>
      </c>
      <c r="M339" t="inlineStr">
        <is>
          <t>Operaciones</t>
        </is>
      </c>
      <c r="N339" t="inlineStr">
        <is>
          <t>Portal internacional</t>
        </is>
      </c>
    </row>
    <row r="340">
      <c r="A340" t="inlineStr">
        <is>
          <t>GAS-0339</t>
        </is>
      </c>
      <c r="B340" s="2" t="n">
        <v>45352</v>
      </c>
      <c r="C340" t="inlineStr">
        <is>
          <t>Personal</t>
        </is>
      </c>
      <c r="D340" t="inlineStr">
        <is>
          <t>Salarios</t>
        </is>
      </c>
      <c r="E340" t="inlineStr">
        <is>
          <t>NoticiasPro</t>
        </is>
      </c>
      <c r="F340" t="inlineStr">
        <is>
          <t>Publicación de noticias</t>
        </is>
      </c>
      <c r="G340" t="inlineStr">
        <is>
          <t>Soporte anual</t>
        </is>
      </c>
      <c r="H340" t="inlineStr">
        <is>
          <t>Salarios para publicación de noticias</t>
        </is>
      </c>
      <c r="I340" s="5" t="n">
        <v>4935.45</v>
      </c>
      <c r="J340" s="3" t="n">
        <v>0.21</v>
      </c>
      <c r="K340" s="5">
        <f>ROUND(I340*(1+J340),2)</f>
        <v/>
      </c>
      <c r="L340" t="inlineStr">
        <is>
          <t>Variable</t>
        </is>
      </c>
      <c r="M340" t="inlineStr">
        <is>
          <t>Marketing</t>
        </is>
      </c>
      <c r="N340" t="inlineStr">
        <is>
          <t>Intranet operaciones</t>
        </is>
      </c>
    </row>
    <row r="341">
      <c r="A341" t="inlineStr">
        <is>
          <t>GAS-0340</t>
        </is>
      </c>
      <c r="B341" s="2" t="n">
        <v>45718</v>
      </c>
      <c r="C341" t="inlineStr">
        <is>
          <t>Tecnología</t>
        </is>
      </c>
      <c r="D341" t="inlineStr">
        <is>
          <t>Monitorización</t>
        </is>
      </c>
      <c r="E341" t="inlineStr">
        <is>
          <t>IntraSys</t>
        </is>
      </c>
      <c r="F341" t="inlineStr">
        <is>
          <t>Anuncios RRHH</t>
        </is>
      </c>
      <c r="G341" t="inlineStr">
        <is>
          <t>Proyecto puntual</t>
        </is>
      </c>
      <c r="H341" t="inlineStr">
        <is>
          <t>Monitorización para anuncios rrhh</t>
        </is>
      </c>
      <c r="I341" s="5" t="n">
        <v>2129.22</v>
      </c>
      <c r="J341" s="3" t="n">
        <v>0.21</v>
      </c>
      <c r="K341" s="5">
        <f>ROUND(I341*(1+J341),2)</f>
        <v/>
      </c>
      <c r="L341" t="inlineStr">
        <is>
          <t>Variable</t>
        </is>
      </c>
      <c r="M341" t="inlineStr">
        <is>
          <t>Marketing</t>
        </is>
      </c>
      <c r="N341" t="inlineStr">
        <is>
          <t>Centro de prensa</t>
        </is>
      </c>
    </row>
    <row r="342">
      <c r="A342" t="inlineStr">
        <is>
          <t>GAS-0341</t>
        </is>
      </c>
      <c r="B342" s="2" t="n">
        <v>45469</v>
      </c>
      <c r="C342" t="inlineStr">
        <is>
          <t>Marketing</t>
        </is>
      </c>
      <c r="D342" t="inlineStr">
        <is>
          <t>Diseño creativo</t>
        </is>
      </c>
      <c r="E342" t="inlineStr">
        <is>
          <t>Redacción Global</t>
        </is>
      </c>
      <c r="F342" t="inlineStr">
        <is>
          <t>Anuncios prensa</t>
        </is>
      </c>
      <c r="G342" t="inlineStr">
        <is>
          <t>Campaña</t>
        </is>
      </c>
      <c r="H342" t="inlineStr">
        <is>
          <t>Diseño creativo para anuncios prensa</t>
        </is>
      </c>
      <c r="I342" s="5" t="n">
        <v>10433.82</v>
      </c>
      <c r="J342" s="3" t="n">
        <v>0.21</v>
      </c>
      <c r="K342" s="5">
        <f>ROUND(I342*(1+J342),2)</f>
        <v/>
      </c>
      <c r="L342" t="inlineStr">
        <is>
          <t>Fijo</t>
        </is>
      </c>
      <c r="M342" t="inlineStr">
        <is>
          <t>Marketing</t>
        </is>
      </c>
      <c r="N342" t="inlineStr">
        <is>
          <t>Portal internacional</t>
        </is>
      </c>
    </row>
    <row r="343">
      <c r="A343" t="inlineStr">
        <is>
          <t>GAS-0342</t>
        </is>
      </c>
      <c r="B343" s="2" t="n">
        <v>45480</v>
      </c>
      <c r="C343" t="inlineStr">
        <is>
          <t>Personal</t>
        </is>
      </c>
      <c r="D343" t="inlineStr">
        <is>
          <t>Formación</t>
        </is>
      </c>
      <c r="E343" t="inlineStr">
        <is>
          <t>IntraSys</t>
        </is>
      </c>
      <c r="F343" t="inlineStr">
        <is>
          <t>Mantenimiento web</t>
        </is>
      </c>
      <c r="G343" t="inlineStr">
        <is>
          <t>Soporte anual</t>
        </is>
      </c>
      <c r="H343" t="inlineStr">
        <is>
          <t>Formación para mantenimiento web</t>
        </is>
      </c>
      <c r="I343" s="5" t="n">
        <v>2629.6</v>
      </c>
      <c r="J343" s="3" t="n">
        <v>0</v>
      </c>
      <c r="K343" s="5">
        <f>ROUND(I343*(1+J343),2)</f>
        <v/>
      </c>
      <c r="L343" t="inlineStr">
        <is>
          <t>Variable</t>
        </is>
      </c>
      <c r="M343" t="inlineStr">
        <is>
          <t>Operaciones</t>
        </is>
      </c>
      <c r="N343" t="inlineStr">
        <is>
          <t>Centro de prensa</t>
        </is>
      </c>
    </row>
    <row r="344">
      <c r="A344" t="inlineStr">
        <is>
          <t>GAS-0343</t>
        </is>
      </c>
      <c r="B344" s="2" t="n">
        <v>45307</v>
      </c>
      <c r="C344" t="inlineStr">
        <is>
          <t>Marketing</t>
        </is>
      </c>
      <c r="D344" t="inlineStr">
        <is>
          <t>Producción TV</t>
        </is>
      </c>
      <c r="E344" t="inlineStr">
        <is>
          <t>Redacción Global</t>
        </is>
      </c>
      <c r="F344" t="inlineStr">
        <is>
          <t>Mantenimiento web</t>
        </is>
      </c>
      <c r="G344" t="inlineStr">
        <is>
          <t>Campaña</t>
        </is>
      </c>
      <c r="H344" t="inlineStr">
        <is>
          <t>Producción TV para mantenimiento web</t>
        </is>
      </c>
      <c r="I344" s="5" t="n">
        <v>3507.83</v>
      </c>
      <c r="J344" s="3" t="n">
        <v>0.1</v>
      </c>
      <c r="K344" s="5">
        <f>ROUND(I344*(1+J344),2)</f>
        <v/>
      </c>
      <c r="L344" t="inlineStr">
        <is>
          <t>Variable</t>
        </is>
      </c>
      <c r="M344" t="inlineStr">
        <is>
          <t>Marketing</t>
        </is>
      </c>
      <c r="N344" t="inlineStr">
        <is>
          <t>Sección noticias</t>
        </is>
      </c>
    </row>
    <row r="345">
      <c r="A345" t="inlineStr">
        <is>
          <t>GAS-0344</t>
        </is>
      </c>
      <c r="B345" s="2" t="n">
        <v>45737</v>
      </c>
      <c r="C345" t="inlineStr">
        <is>
          <t>Tecnología</t>
        </is>
      </c>
      <c r="D345" t="inlineStr">
        <is>
          <t>Monitorización</t>
        </is>
      </c>
      <c r="E345" t="inlineStr">
        <is>
          <t>MediaCloud</t>
        </is>
      </c>
      <c r="F345" t="inlineStr">
        <is>
          <t>Traducciones</t>
        </is>
      </c>
      <c r="G345" t="inlineStr">
        <is>
          <t>Suscripción mensual</t>
        </is>
      </c>
      <c r="H345" t="inlineStr">
        <is>
          <t>Monitorización para traducciones</t>
        </is>
      </c>
      <c r="I345" s="5" t="n">
        <v>146.9</v>
      </c>
      <c r="J345" s="3" t="n">
        <v>0.21</v>
      </c>
      <c r="K345" s="5">
        <f>ROUND(I345*(1+J345),2)</f>
        <v/>
      </c>
      <c r="L345" t="inlineStr">
        <is>
          <t>Fijo</t>
        </is>
      </c>
      <c r="M345" t="inlineStr">
        <is>
          <t>Operaciones</t>
        </is>
      </c>
      <c r="N345" t="inlineStr">
        <is>
          <t>Intranet operaciones</t>
        </is>
      </c>
    </row>
    <row r="346">
      <c r="A346" t="inlineStr">
        <is>
          <t>GAS-0345</t>
        </is>
      </c>
      <c r="B346" s="2" t="n">
        <v>45300</v>
      </c>
      <c r="C346" t="inlineStr">
        <is>
          <t>Marketing</t>
        </is>
      </c>
      <c r="D346" t="inlineStr">
        <is>
          <t>Ads LinkedIn</t>
        </is>
      </c>
      <c r="E346" t="inlineStr">
        <is>
          <t>AdVision</t>
        </is>
      </c>
      <c r="F346" t="inlineStr">
        <is>
          <t>Anuncios RRHH</t>
        </is>
      </c>
      <c r="G346" t="inlineStr">
        <is>
          <t>Retainer trimestral</t>
        </is>
      </c>
      <c r="H346" t="inlineStr">
        <is>
          <t>Ads LinkedIn para anuncios rrhh</t>
        </is>
      </c>
      <c r="I346" s="5" t="n">
        <v>11805.82</v>
      </c>
      <c r="J346" s="3" t="n">
        <v>0.21</v>
      </c>
      <c r="K346" s="5">
        <f>ROUND(I346*(1+J346),2)</f>
        <v/>
      </c>
      <c r="L346" t="inlineStr">
        <is>
          <t>Variable</t>
        </is>
      </c>
      <c r="M346" t="inlineStr">
        <is>
          <t>Administración</t>
        </is>
      </c>
      <c r="N346" t="inlineStr">
        <is>
          <t>Portal corporativo</t>
        </is>
      </c>
    </row>
    <row r="347">
      <c r="A347" t="inlineStr">
        <is>
          <t>GAS-0346</t>
        </is>
      </c>
      <c r="B347" s="2" t="n">
        <v>45665</v>
      </c>
      <c r="C347" t="inlineStr">
        <is>
          <t>Operaciones</t>
        </is>
      </c>
      <c r="D347" t="inlineStr">
        <is>
          <t>QA intranet</t>
        </is>
      </c>
      <c r="E347" t="inlineStr">
        <is>
          <t>IntraSys</t>
        </is>
      </c>
      <c r="F347" t="inlineStr">
        <is>
          <t>Anuncios prensa</t>
        </is>
      </c>
      <c r="G347" t="inlineStr">
        <is>
          <t>Suscripción mensual</t>
        </is>
      </c>
      <c r="H347" t="inlineStr">
        <is>
          <t>QA intranet para anuncios prensa</t>
        </is>
      </c>
      <c r="I347" s="5" t="n">
        <v>4976.53</v>
      </c>
      <c r="J347" s="3" t="n">
        <v>0.21</v>
      </c>
      <c r="K347" s="5">
        <f>ROUND(I347*(1+J347),2)</f>
        <v/>
      </c>
      <c r="L347" t="inlineStr">
        <is>
          <t>Variable</t>
        </is>
      </c>
      <c r="M347" t="inlineStr">
        <is>
          <t>Operaciones</t>
        </is>
      </c>
      <c r="N347" t="inlineStr">
        <is>
          <t>Centro de prensa</t>
        </is>
      </c>
    </row>
    <row r="348">
      <c r="A348" t="inlineStr">
        <is>
          <t>GAS-0347</t>
        </is>
      </c>
      <c r="B348" s="2" t="n">
        <v>45471</v>
      </c>
      <c r="C348" t="inlineStr">
        <is>
          <t>Marketing</t>
        </is>
      </c>
      <c r="D348" t="inlineStr">
        <is>
          <t>Diseño creativo</t>
        </is>
      </c>
      <c r="E348" t="inlineStr">
        <is>
          <t>LinguaTech</t>
        </is>
      </c>
      <c r="F348" t="inlineStr">
        <is>
          <t>Anuncios prensa</t>
        </is>
      </c>
      <c r="G348" t="inlineStr">
        <is>
          <t>Retainer trimestral</t>
        </is>
      </c>
      <c r="H348" t="inlineStr">
        <is>
          <t>Diseño creativo para anuncios prensa</t>
        </is>
      </c>
      <c r="I348" s="5" t="n">
        <v>10102.96</v>
      </c>
      <c r="J348" s="3" t="n">
        <v>0.21</v>
      </c>
      <c r="K348" s="5">
        <f>ROUND(I348*(1+J348),2)</f>
        <v/>
      </c>
      <c r="L348" t="inlineStr">
        <is>
          <t>Fijo</t>
        </is>
      </c>
      <c r="M348" t="inlineStr">
        <is>
          <t>Administración</t>
        </is>
      </c>
      <c r="N348" t="inlineStr">
        <is>
          <t>Intranet operaciones</t>
        </is>
      </c>
    </row>
    <row r="349">
      <c r="A349" t="inlineStr">
        <is>
          <t>GAS-0348</t>
        </is>
      </c>
      <c r="B349" s="2" t="n">
        <v>45695</v>
      </c>
      <c r="C349" t="inlineStr">
        <is>
          <t>Personal</t>
        </is>
      </c>
      <c r="D349" t="inlineStr">
        <is>
          <t>Salarios</t>
        </is>
      </c>
      <c r="E349" t="inlineStr">
        <is>
          <t>Acme Hosting</t>
        </is>
      </c>
      <c r="F349" t="inlineStr">
        <is>
          <t>Publicación de noticias</t>
        </is>
      </c>
      <c r="G349" t="inlineStr">
        <is>
          <t>Proyecto puntual</t>
        </is>
      </c>
      <c r="H349" t="inlineStr">
        <is>
          <t>Salarios para publicación de noticias</t>
        </is>
      </c>
      <c r="I349" s="5" t="n">
        <v>6525.72</v>
      </c>
      <c r="J349" s="3" t="n">
        <v>0.21</v>
      </c>
      <c r="K349" s="5">
        <f>ROUND(I349*(1+J349),2)</f>
        <v/>
      </c>
      <c r="L349" t="inlineStr">
        <is>
          <t>Variable</t>
        </is>
      </c>
      <c r="M349" t="inlineStr">
        <is>
          <t>Operaciones</t>
        </is>
      </c>
      <c r="N349" t="inlineStr">
        <is>
          <t>Campaña empleo</t>
        </is>
      </c>
    </row>
    <row r="350">
      <c r="A350" t="inlineStr">
        <is>
          <t>GAS-0349</t>
        </is>
      </c>
      <c r="B350" s="2" t="n">
        <v>45434</v>
      </c>
      <c r="C350" t="inlineStr">
        <is>
          <t>Personal</t>
        </is>
      </c>
      <c r="D350" t="inlineStr">
        <is>
          <t>Formación</t>
        </is>
      </c>
      <c r="E350" t="inlineStr">
        <is>
          <t>MediaCloud</t>
        </is>
      </c>
      <c r="F350" t="inlineStr">
        <is>
          <t>Mantenimiento intranets</t>
        </is>
      </c>
      <c r="G350" t="inlineStr">
        <is>
          <t>Soporte anual</t>
        </is>
      </c>
      <c r="H350" t="inlineStr">
        <is>
          <t>Formación para mantenimiento intranets</t>
        </is>
      </c>
      <c r="I350" s="5" t="n">
        <v>6656.08</v>
      </c>
      <c r="J350" s="3" t="n">
        <v>0.21</v>
      </c>
      <c r="K350" s="5">
        <f>ROUND(I350*(1+J350),2)</f>
        <v/>
      </c>
      <c r="L350" t="inlineStr">
        <is>
          <t>Variable</t>
        </is>
      </c>
      <c r="M350" t="inlineStr">
        <is>
          <t>Comercial</t>
        </is>
      </c>
      <c r="N350" t="inlineStr">
        <is>
          <t>Campaña empleo</t>
        </is>
      </c>
    </row>
    <row r="351">
      <c r="A351" t="inlineStr">
        <is>
          <t>GAS-0350</t>
        </is>
      </c>
      <c r="B351" s="2" t="n">
        <v>45478</v>
      </c>
      <c r="C351" t="inlineStr">
        <is>
          <t>Personal</t>
        </is>
      </c>
      <c r="D351" t="inlineStr">
        <is>
          <t>Salarios</t>
        </is>
      </c>
      <c r="E351" t="inlineStr">
        <is>
          <t>AdVision</t>
        </is>
      </c>
      <c r="F351" t="inlineStr">
        <is>
          <t>Publicación de noticias</t>
        </is>
      </c>
      <c r="G351" t="inlineStr">
        <is>
          <t>Soporte anual</t>
        </is>
      </c>
      <c r="H351" t="inlineStr">
        <is>
          <t>Salarios para publicación de noticias</t>
        </is>
      </c>
      <c r="I351" s="5" t="n">
        <v>8348.73</v>
      </c>
      <c r="J351" s="3" t="n">
        <v>0.21</v>
      </c>
      <c r="K351" s="5">
        <f>ROUND(I351*(1+J351),2)</f>
        <v/>
      </c>
      <c r="L351" t="inlineStr">
        <is>
          <t>Fijo</t>
        </is>
      </c>
      <c r="M351" t="inlineStr">
        <is>
          <t>Operaciones</t>
        </is>
      </c>
      <c r="N351" t="inlineStr">
        <is>
          <t>Microsite RRHH</t>
        </is>
      </c>
    </row>
    <row r="352">
      <c r="A352" t="inlineStr">
        <is>
          <t>GAS-0351</t>
        </is>
      </c>
      <c r="B352" s="2" t="n">
        <v>45467</v>
      </c>
      <c r="C352" t="inlineStr">
        <is>
          <t>Personal</t>
        </is>
      </c>
      <c r="D352" t="inlineStr">
        <is>
          <t>Formación</t>
        </is>
      </c>
      <c r="E352" t="inlineStr">
        <is>
          <t>Redacción Global</t>
        </is>
      </c>
      <c r="F352" t="inlineStr">
        <is>
          <t>Mantenimiento intranets</t>
        </is>
      </c>
      <c r="G352" t="inlineStr">
        <is>
          <t>Soporte anual</t>
        </is>
      </c>
      <c r="H352" t="inlineStr">
        <is>
          <t>Formación para mantenimiento intranets</t>
        </is>
      </c>
      <c r="I352" s="5" t="n">
        <v>8454.42</v>
      </c>
      <c r="J352" s="3" t="n">
        <v>0.1</v>
      </c>
      <c r="K352" s="5">
        <f>ROUND(I352*(1+J352),2)</f>
        <v/>
      </c>
      <c r="L352" t="inlineStr">
        <is>
          <t>Variable</t>
        </is>
      </c>
      <c r="M352" t="inlineStr">
        <is>
          <t>Operaciones</t>
        </is>
      </c>
      <c r="N352" t="inlineStr">
        <is>
          <t>Campaña empleo</t>
        </is>
      </c>
    </row>
    <row r="353">
      <c r="A353" t="inlineStr">
        <is>
          <t>GAS-0352</t>
        </is>
      </c>
      <c r="B353" s="2" t="n">
        <v>45592</v>
      </c>
      <c r="C353" t="inlineStr">
        <is>
          <t>Personal</t>
        </is>
      </c>
      <c r="D353" t="inlineStr">
        <is>
          <t>Seguridad Social</t>
        </is>
      </c>
      <c r="E353" t="inlineStr">
        <is>
          <t>AdVision</t>
        </is>
      </c>
      <c r="F353" t="inlineStr">
        <is>
          <t>Generación de noticias</t>
        </is>
      </c>
      <c r="G353" t="inlineStr">
        <is>
          <t>Retainer trimestral</t>
        </is>
      </c>
      <c r="H353" t="inlineStr">
        <is>
          <t>Seguridad Social para generación de noticias</t>
        </is>
      </c>
      <c r="I353" s="5" t="n">
        <v>1429.57</v>
      </c>
      <c r="J353" s="3" t="n">
        <v>0.1</v>
      </c>
      <c r="K353" s="5">
        <f>ROUND(I353*(1+J353),2)</f>
        <v/>
      </c>
      <c r="L353" t="inlineStr">
        <is>
          <t>Variable</t>
        </is>
      </c>
      <c r="M353" t="inlineStr">
        <is>
          <t>Administración</t>
        </is>
      </c>
      <c r="N353" t="inlineStr">
        <is>
          <t>Portal corporativo</t>
        </is>
      </c>
    </row>
    <row r="354">
      <c r="A354" t="inlineStr">
        <is>
          <t>GAS-0353</t>
        </is>
      </c>
      <c r="B354" s="2" t="n">
        <v>45343</v>
      </c>
      <c r="C354" t="inlineStr">
        <is>
          <t>Personal</t>
        </is>
      </c>
      <c r="D354" t="inlineStr">
        <is>
          <t>Salarios</t>
        </is>
      </c>
      <c r="E354" t="inlineStr">
        <is>
          <t>MediaCloud</t>
        </is>
      </c>
      <c r="F354" t="inlineStr">
        <is>
          <t>Anuncios RRHH</t>
        </is>
      </c>
      <c r="G354" t="inlineStr">
        <is>
          <t>Retainer trimestral</t>
        </is>
      </c>
      <c r="H354" t="inlineStr">
        <is>
          <t>Salarios para anuncios rrhh</t>
        </is>
      </c>
      <c r="I354" s="5" t="n">
        <v>7546.1</v>
      </c>
      <c r="J354" s="3" t="n">
        <v>0.21</v>
      </c>
      <c r="K354" s="5">
        <f>ROUND(I354*(1+J354),2)</f>
        <v/>
      </c>
      <c r="L354" t="inlineStr">
        <is>
          <t>Fijo</t>
        </is>
      </c>
      <c r="M354" t="inlineStr">
        <is>
          <t>Marketing</t>
        </is>
      </c>
      <c r="N354" t="inlineStr">
        <is>
          <t>Sección noticias</t>
        </is>
      </c>
    </row>
    <row r="355">
      <c r="A355" t="inlineStr">
        <is>
          <t>GAS-0354</t>
        </is>
      </c>
      <c r="B355" s="2" t="n">
        <v>45662</v>
      </c>
      <c r="C355" t="inlineStr">
        <is>
          <t>Marketing</t>
        </is>
      </c>
      <c r="D355" t="inlineStr">
        <is>
          <t>Producción TV</t>
        </is>
      </c>
      <c r="E355" t="inlineStr">
        <is>
          <t>AdVision</t>
        </is>
      </c>
      <c r="F355" t="inlineStr">
        <is>
          <t>Anuncios internet</t>
        </is>
      </c>
      <c r="G355" t="inlineStr">
        <is>
          <t>Soporte anual</t>
        </is>
      </c>
      <c r="H355" t="inlineStr">
        <is>
          <t>Producción TV para anuncios internet</t>
        </is>
      </c>
      <c r="I355" s="5" t="n">
        <v>8852.17</v>
      </c>
      <c r="J355" s="3" t="n">
        <v>0.21</v>
      </c>
      <c r="K355" s="5">
        <f>ROUND(I355*(1+J355),2)</f>
        <v/>
      </c>
      <c r="L355" t="inlineStr">
        <is>
          <t>Variable</t>
        </is>
      </c>
      <c r="M355" t="inlineStr">
        <is>
          <t>Marketing</t>
        </is>
      </c>
      <c r="N355" t="inlineStr">
        <is>
          <t>Centro de prensa</t>
        </is>
      </c>
    </row>
    <row r="356">
      <c r="A356" t="inlineStr">
        <is>
          <t>GAS-0355</t>
        </is>
      </c>
      <c r="B356" s="2" t="n">
        <v>45375</v>
      </c>
      <c r="C356" t="inlineStr">
        <is>
          <t>Personal</t>
        </is>
      </c>
      <c r="D356" t="inlineStr">
        <is>
          <t>Salarios</t>
        </is>
      </c>
      <c r="E356" t="inlineStr">
        <is>
          <t>NominaPlus</t>
        </is>
      </c>
      <c r="F356" t="inlineStr">
        <is>
          <t>Anuncios TV</t>
        </is>
      </c>
      <c r="G356" t="inlineStr">
        <is>
          <t>Proyecto puntual</t>
        </is>
      </c>
      <c r="H356" t="inlineStr">
        <is>
          <t>Salarios para anuncios tv</t>
        </is>
      </c>
      <c r="I356" s="5" t="n">
        <v>1987.34</v>
      </c>
      <c r="J356" s="3" t="n">
        <v>0.21</v>
      </c>
      <c r="K356" s="5">
        <f>ROUND(I356*(1+J356),2)</f>
        <v/>
      </c>
      <c r="L356" t="inlineStr">
        <is>
          <t>Fijo</t>
        </is>
      </c>
      <c r="M356" t="inlineStr">
        <is>
          <t>Administración</t>
        </is>
      </c>
      <c r="N356" t="inlineStr">
        <is>
          <t>Sección noticias</t>
        </is>
      </c>
    </row>
    <row r="357">
      <c r="A357" t="inlineStr">
        <is>
          <t>GAS-0356</t>
        </is>
      </c>
      <c r="B357" s="2" t="n">
        <v>45376</v>
      </c>
      <c r="C357" t="inlineStr">
        <is>
          <t>Personal</t>
        </is>
      </c>
      <c r="D357" t="inlineStr">
        <is>
          <t>Seguridad Social</t>
        </is>
      </c>
      <c r="E357" t="inlineStr">
        <is>
          <t>Legal Iberia</t>
        </is>
      </c>
      <c r="F357" t="inlineStr">
        <is>
          <t>Mantenimiento web</t>
        </is>
      </c>
      <c r="G357" t="inlineStr">
        <is>
          <t>Suscripción mensual</t>
        </is>
      </c>
      <c r="H357" t="inlineStr">
        <is>
          <t>Seguridad Social para mantenimiento web</t>
        </is>
      </c>
      <c r="I357" s="5" t="n">
        <v>8283.370000000001</v>
      </c>
      <c r="J357" s="3" t="n">
        <v>0.21</v>
      </c>
      <c r="K357" s="5">
        <f>ROUND(I357*(1+J357),2)</f>
        <v/>
      </c>
      <c r="L357" t="inlineStr">
        <is>
          <t>Fijo</t>
        </is>
      </c>
      <c r="M357" t="inlineStr">
        <is>
          <t>Comercial</t>
        </is>
      </c>
      <c r="N357" t="inlineStr">
        <is>
          <t>Centro de prensa</t>
        </is>
      </c>
    </row>
    <row r="358">
      <c r="A358" t="inlineStr">
        <is>
          <t>GAS-0357</t>
        </is>
      </c>
      <c r="B358" s="2" t="n">
        <v>45689</v>
      </c>
      <c r="C358" t="inlineStr">
        <is>
          <t>Personal</t>
        </is>
      </c>
      <c r="D358" t="inlineStr">
        <is>
          <t>Salarios</t>
        </is>
      </c>
      <c r="E358" t="inlineStr">
        <is>
          <t>AdVision</t>
        </is>
      </c>
      <c r="F358" t="inlineStr">
        <is>
          <t>Mantenimiento intranets</t>
        </is>
      </c>
      <c r="G358" t="inlineStr">
        <is>
          <t>Suscripción mensual</t>
        </is>
      </c>
      <c r="H358" t="inlineStr">
        <is>
          <t>Salarios para mantenimiento intranets</t>
        </is>
      </c>
      <c r="I358" s="5" t="n">
        <v>7461.66</v>
      </c>
      <c r="J358" s="3" t="n">
        <v>0.21</v>
      </c>
      <c r="K358" s="5">
        <f>ROUND(I358*(1+J358),2)</f>
        <v/>
      </c>
      <c r="L358" t="inlineStr">
        <is>
          <t>Fijo</t>
        </is>
      </c>
      <c r="M358" t="inlineStr">
        <is>
          <t>Tecnología</t>
        </is>
      </c>
      <c r="N358" t="inlineStr">
        <is>
          <t>Intranet comercial</t>
        </is>
      </c>
    </row>
    <row r="359">
      <c r="A359" t="inlineStr">
        <is>
          <t>GAS-0358</t>
        </is>
      </c>
      <c r="B359" s="2" t="n">
        <v>45341</v>
      </c>
      <c r="C359" t="inlineStr">
        <is>
          <t>Tecnología</t>
        </is>
      </c>
      <c r="D359" t="inlineStr">
        <is>
          <t>Software traducción</t>
        </is>
      </c>
      <c r="E359" t="inlineStr">
        <is>
          <t>TVSpot Studio</t>
        </is>
      </c>
      <c r="F359" t="inlineStr">
        <is>
          <t>Mantenimiento intranets</t>
        </is>
      </c>
      <c r="G359" t="inlineStr">
        <is>
          <t>Proyecto puntual</t>
        </is>
      </c>
      <c r="H359" t="inlineStr">
        <is>
          <t>Software traducción para mantenimiento intranets</t>
        </is>
      </c>
      <c r="I359" s="5" t="n">
        <v>1630.77</v>
      </c>
      <c r="J359" s="3" t="n">
        <v>0.21</v>
      </c>
      <c r="K359" s="5">
        <f>ROUND(I359*(1+J359),2)</f>
        <v/>
      </c>
      <c r="L359" t="inlineStr">
        <is>
          <t>Fijo</t>
        </is>
      </c>
      <c r="M359" t="inlineStr">
        <is>
          <t>Marketing</t>
        </is>
      </c>
      <c r="N359" t="inlineStr">
        <is>
          <t>Portal internacional</t>
        </is>
      </c>
    </row>
    <row r="360">
      <c r="A360" t="inlineStr">
        <is>
          <t>GAS-0359</t>
        </is>
      </c>
      <c r="B360" s="2" t="n">
        <v>45745</v>
      </c>
      <c r="C360" t="inlineStr">
        <is>
          <t>Operaciones</t>
        </is>
      </c>
      <c r="D360" t="inlineStr">
        <is>
          <t>QA intranet</t>
        </is>
      </c>
      <c r="E360" t="inlineStr">
        <is>
          <t>CloudPulse</t>
        </is>
      </c>
      <c r="F360" t="inlineStr">
        <is>
          <t>Anuncios prensa</t>
        </is>
      </c>
      <c r="G360" t="inlineStr">
        <is>
          <t>Proyecto puntual</t>
        </is>
      </c>
      <c r="H360" t="inlineStr">
        <is>
          <t>QA intranet para anuncios prensa</t>
        </is>
      </c>
      <c r="I360" s="5" t="n">
        <v>5825.82</v>
      </c>
      <c r="J360" s="3" t="n">
        <v>0.21</v>
      </c>
      <c r="K360" s="5">
        <f>ROUND(I360*(1+J360),2)</f>
        <v/>
      </c>
      <c r="L360" t="inlineStr">
        <is>
          <t>Variable</t>
        </is>
      </c>
      <c r="M360" t="inlineStr">
        <is>
          <t>Tecnología</t>
        </is>
      </c>
      <c r="N360" t="inlineStr">
        <is>
          <t>Portal internacional</t>
        </is>
      </c>
    </row>
    <row r="361">
      <c r="A361" t="inlineStr">
        <is>
          <t>GAS-0360</t>
        </is>
      </c>
      <c r="B361" s="2" t="n">
        <v>45514</v>
      </c>
      <c r="C361" t="inlineStr">
        <is>
          <t>Tecnología</t>
        </is>
      </c>
      <c r="D361" t="inlineStr">
        <is>
          <t>Hosting</t>
        </is>
      </c>
      <c r="E361" t="inlineStr">
        <is>
          <t>LinguaTech</t>
        </is>
      </c>
      <c r="F361" t="inlineStr">
        <is>
          <t>Anuncios prensa</t>
        </is>
      </c>
      <c r="G361" t="inlineStr">
        <is>
          <t>Retainer trimestral</t>
        </is>
      </c>
      <c r="H361" t="inlineStr">
        <is>
          <t>Hosting para anuncios prensa</t>
        </is>
      </c>
      <c r="I361" s="5" t="n">
        <v>1577.74</v>
      </c>
      <c r="J361" s="3" t="n">
        <v>0.21</v>
      </c>
      <c r="K361" s="5">
        <f>ROUND(I361*(1+J361),2)</f>
        <v/>
      </c>
      <c r="L361" t="inlineStr">
        <is>
          <t>Fijo</t>
        </is>
      </c>
      <c r="M361" t="inlineStr">
        <is>
          <t>Marketing</t>
        </is>
      </c>
      <c r="N361" t="inlineStr">
        <is>
          <t>Sección noticias</t>
        </is>
      </c>
    </row>
    <row r="362">
      <c r="A362" t="inlineStr">
        <is>
          <t>GAS-0361</t>
        </is>
      </c>
      <c r="B362" s="2" t="n">
        <v>45719</v>
      </c>
      <c r="C362" t="inlineStr">
        <is>
          <t>Personal</t>
        </is>
      </c>
      <c r="D362" t="inlineStr">
        <is>
          <t>Seguridad Social</t>
        </is>
      </c>
      <c r="E362" t="inlineStr">
        <is>
          <t>LinguaTech</t>
        </is>
      </c>
      <c r="F362" t="inlineStr">
        <is>
          <t>Anuncios internet</t>
        </is>
      </c>
      <c r="G362" t="inlineStr">
        <is>
          <t>Campaña</t>
        </is>
      </c>
      <c r="H362" t="inlineStr">
        <is>
          <t>Seguridad Social para anuncios internet</t>
        </is>
      </c>
      <c r="I362" s="5" t="n">
        <v>1454.23</v>
      </c>
      <c r="J362" s="3" t="n">
        <v>0</v>
      </c>
      <c r="K362" s="5">
        <f>ROUND(I362*(1+J362),2)</f>
        <v/>
      </c>
      <c r="L362" t="inlineStr">
        <is>
          <t>Variable</t>
        </is>
      </c>
      <c r="M362" t="inlineStr">
        <is>
          <t>Operaciones</t>
        </is>
      </c>
      <c r="N362" t="inlineStr">
        <is>
          <t>Microsite RRHH</t>
        </is>
      </c>
    </row>
    <row r="363">
      <c r="A363" t="inlineStr">
        <is>
          <t>GAS-0362</t>
        </is>
      </c>
      <c r="B363" s="2" t="n">
        <v>45635</v>
      </c>
      <c r="C363" t="inlineStr">
        <is>
          <t>Operaciones</t>
        </is>
      </c>
      <c r="D363" t="inlineStr">
        <is>
          <t>Freelancers</t>
        </is>
      </c>
      <c r="E363" t="inlineStr">
        <is>
          <t>TVSpot Studio</t>
        </is>
      </c>
      <c r="F363" t="inlineStr">
        <is>
          <t>Publicación de noticias</t>
        </is>
      </c>
      <c r="G363" t="inlineStr">
        <is>
          <t>Campaña</t>
        </is>
      </c>
      <c r="H363" t="inlineStr">
        <is>
          <t>Freelancers para publicación de noticias</t>
        </is>
      </c>
      <c r="I363" s="5" t="n">
        <v>2809.95</v>
      </c>
      <c r="J363" s="3" t="n">
        <v>0</v>
      </c>
      <c r="K363" s="5">
        <f>ROUND(I363*(1+J363),2)</f>
        <v/>
      </c>
      <c r="L363" t="inlineStr">
        <is>
          <t>Variable</t>
        </is>
      </c>
      <c r="M363" t="inlineStr">
        <is>
          <t>Marketing</t>
        </is>
      </c>
      <c r="N363" t="inlineStr">
        <is>
          <t>Centro de prensa</t>
        </is>
      </c>
    </row>
    <row r="364">
      <c r="A364" t="inlineStr">
        <is>
          <t>GAS-0363</t>
        </is>
      </c>
      <c r="B364" s="2" t="n">
        <v>45349</v>
      </c>
      <c r="C364" t="inlineStr">
        <is>
          <t>Marketing</t>
        </is>
      </c>
      <c r="D364" t="inlineStr">
        <is>
          <t>Ads LinkedIn</t>
        </is>
      </c>
      <c r="E364" t="inlineStr">
        <is>
          <t>MediaCloud</t>
        </is>
      </c>
      <c r="F364" t="inlineStr">
        <is>
          <t>Anuncios internet</t>
        </is>
      </c>
      <c r="G364" t="inlineStr">
        <is>
          <t>Campaña</t>
        </is>
      </c>
      <c r="H364" t="inlineStr">
        <is>
          <t>Ads LinkedIn para anuncios internet</t>
        </is>
      </c>
      <c r="I364" s="5" t="n">
        <v>8630.67</v>
      </c>
      <c r="J364" s="3" t="n">
        <v>0.1</v>
      </c>
      <c r="K364" s="5">
        <f>ROUND(I364*(1+J364),2)</f>
        <v/>
      </c>
      <c r="L364" t="inlineStr">
        <is>
          <t>Variable</t>
        </is>
      </c>
      <c r="M364" t="inlineStr">
        <is>
          <t>Operaciones</t>
        </is>
      </c>
      <c r="N364" t="inlineStr">
        <is>
          <t>Sección noticias</t>
        </is>
      </c>
    </row>
    <row r="365">
      <c r="A365" t="inlineStr">
        <is>
          <t>GAS-0364</t>
        </is>
      </c>
      <c r="B365" s="2" t="n">
        <v>45436</v>
      </c>
      <c r="C365" t="inlineStr">
        <is>
          <t>Personal</t>
        </is>
      </c>
      <c r="D365" t="inlineStr">
        <is>
          <t>Formación</t>
        </is>
      </c>
      <c r="E365" t="inlineStr">
        <is>
          <t>Acme Hosting</t>
        </is>
      </c>
      <c r="F365" t="inlineStr">
        <is>
          <t>Generación de noticias</t>
        </is>
      </c>
      <c r="G365" t="inlineStr">
        <is>
          <t>Suscripción mensual</t>
        </is>
      </c>
      <c r="H365" t="inlineStr">
        <is>
          <t>Formación para generación de noticias</t>
        </is>
      </c>
      <c r="I365" s="5" t="n">
        <v>2642.58</v>
      </c>
      <c r="J365" s="3" t="n">
        <v>0.21</v>
      </c>
      <c r="K365" s="5">
        <f>ROUND(I365*(1+J365),2)</f>
        <v/>
      </c>
      <c r="L365" t="inlineStr">
        <is>
          <t>Variable</t>
        </is>
      </c>
      <c r="M365" t="inlineStr">
        <is>
          <t>Tecnología</t>
        </is>
      </c>
      <c r="N365" t="inlineStr">
        <is>
          <t>Portal corporativo</t>
        </is>
      </c>
    </row>
    <row r="366">
      <c r="A366" t="inlineStr">
        <is>
          <t>GAS-0365</t>
        </is>
      </c>
      <c r="B366" s="2" t="n">
        <v>45442</v>
      </c>
      <c r="C366" t="inlineStr">
        <is>
          <t>Operaciones</t>
        </is>
      </c>
      <c r="D366" t="inlineStr">
        <is>
          <t>Subtitulación</t>
        </is>
      </c>
      <c r="E366" t="inlineStr">
        <is>
          <t>AdVision</t>
        </is>
      </c>
      <c r="F366" t="inlineStr">
        <is>
          <t>Generación de noticias</t>
        </is>
      </c>
      <c r="G366" t="inlineStr">
        <is>
          <t>Campaña</t>
        </is>
      </c>
      <c r="H366" t="inlineStr">
        <is>
          <t>Subtitulación para generación de noticias</t>
        </is>
      </c>
      <c r="I366" s="5" t="n">
        <v>287.65</v>
      </c>
      <c r="J366" s="3" t="n">
        <v>0</v>
      </c>
      <c r="K366" s="5">
        <f>ROUND(I366*(1+J366),2)</f>
        <v/>
      </c>
      <c r="L366" t="inlineStr">
        <is>
          <t>Variable</t>
        </is>
      </c>
      <c r="M366" t="inlineStr">
        <is>
          <t>Tecnología</t>
        </is>
      </c>
      <c r="N366" t="inlineStr">
        <is>
          <t>Centro de prensa</t>
        </is>
      </c>
    </row>
    <row r="367">
      <c r="A367" t="inlineStr">
        <is>
          <t>GAS-0366</t>
        </is>
      </c>
      <c r="B367" s="2" t="n">
        <v>45340</v>
      </c>
      <c r="C367" t="inlineStr">
        <is>
          <t>Marketing</t>
        </is>
      </c>
      <c r="D367" t="inlineStr">
        <is>
          <t>Diseño creativo</t>
        </is>
      </c>
      <c r="E367" t="inlineStr">
        <is>
          <t>MediaCloud</t>
        </is>
      </c>
      <c r="F367" t="inlineStr">
        <is>
          <t>Traducciones</t>
        </is>
      </c>
      <c r="G367" t="inlineStr">
        <is>
          <t>Proyecto puntual</t>
        </is>
      </c>
      <c r="H367" t="inlineStr">
        <is>
          <t>Diseño creativo para traducciones</t>
        </is>
      </c>
      <c r="I367" s="5" t="n">
        <v>8942.559999999999</v>
      </c>
      <c r="J367" s="3" t="n">
        <v>0.21</v>
      </c>
      <c r="K367" s="5">
        <f>ROUND(I367*(1+J367),2)</f>
        <v/>
      </c>
      <c r="L367" t="inlineStr">
        <is>
          <t>Variable</t>
        </is>
      </c>
      <c r="M367" t="inlineStr">
        <is>
          <t>Tecnología</t>
        </is>
      </c>
      <c r="N367" t="inlineStr">
        <is>
          <t>Portal internacional</t>
        </is>
      </c>
    </row>
    <row r="368">
      <c r="A368" t="inlineStr">
        <is>
          <t>GAS-0367</t>
        </is>
      </c>
      <c r="B368" s="2" t="n">
        <v>45312</v>
      </c>
      <c r="C368" t="inlineStr">
        <is>
          <t>Administración</t>
        </is>
      </c>
      <c r="D368" t="inlineStr">
        <is>
          <t>Seguros</t>
        </is>
      </c>
      <c r="E368" t="inlineStr">
        <is>
          <t>LinguaTech</t>
        </is>
      </c>
      <c r="F368" t="inlineStr">
        <is>
          <t>Mantenimiento intranets</t>
        </is>
      </c>
      <c r="G368" t="inlineStr">
        <is>
          <t>Retainer trimestral</t>
        </is>
      </c>
      <c r="H368" t="inlineStr">
        <is>
          <t>Seguros para mantenimiento intranets</t>
        </is>
      </c>
      <c r="I368" s="5" t="n">
        <v>2034.83</v>
      </c>
      <c r="J368" s="3" t="n">
        <v>0.21</v>
      </c>
      <c r="K368" s="5">
        <f>ROUND(I368*(1+J368),2)</f>
        <v/>
      </c>
      <c r="L368" t="inlineStr">
        <is>
          <t>Fijo</t>
        </is>
      </c>
      <c r="M368" t="inlineStr">
        <is>
          <t>Comercial</t>
        </is>
      </c>
      <c r="N368" t="inlineStr">
        <is>
          <t>Intranet comercial</t>
        </is>
      </c>
    </row>
    <row r="369">
      <c r="A369" t="inlineStr">
        <is>
          <t>GAS-0368</t>
        </is>
      </c>
      <c r="B369" s="2" t="n">
        <v>45423</v>
      </c>
      <c r="C369" t="inlineStr">
        <is>
          <t>Tecnología</t>
        </is>
      </c>
      <c r="D369" t="inlineStr">
        <is>
          <t>Hosting</t>
        </is>
      </c>
      <c r="E369" t="inlineStr">
        <is>
          <t>Redacción Global</t>
        </is>
      </c>
      <c r="F369" t="inlineStr">
        <is>
          <t>Anuncios RRHH</t>
        </is>
      </c>
      <c r="G369" t="inlineStr">
        <is>
          <t>Suscripción mensual</t>
        </is>
      </c>
      <c r="H369" t="inlineStr">
        <is>
          <t>Hosting para anuncios rrhh</t>
        </is>
      </c>
      <c r="I369" s="5" t="n">
        <v>1818.3</v>
      </c>
      <c r="J369" s="3" t="n">
        <v>0.21</v>
      </c>
      <c r="K369" s="5">
        <f>ROUND(I369*(1+J369),2)</f>
        <v/>
      </c>
      <c r="L369" t="inlineStr">
        <is>
          <t>Fijo</t>
        </is>
      </c>
      <c r="M369" t="inlineStr">
        <is>
          <t>Comercial</t>
        </is>
      </c>
      <c r="N369" t="inlineStr">
        <is>
          <t>Centro de prensa</t>
        </is>
      </c>
    </row>
    <row r="370">
      <c r="A370" t="inlineStr">
        <is>
          <t>GAS-0369</t>
        </is>
      </c>
      <c r="B370" s="2" t="n">
        <v>45402</v>
      </c>
      <c r="C370" t="inlineStr">
        <is>
          <t>Administración</t>
        </is>
      </c>
      <c r="D370" t="inlineStr">
        <is>
          <t>Seguros</t>
        </is>
      </c>
      <c r="E370" t="inlineStr">
        <is>
          <t>TVSpot Studio</t>
        </is>
      </c>
      <c r="F370" t="inlineStr">
        <is>
          <t>Anuncios TV</t>
        </is>
      </c>
      <c r="G370" t="inlineStr">
        <is>
          <t>Retainer trimestral</t>
        </is>
      </c>
      <c r="H370" t="inlineStr">
        <is>
          <t>Seguros para anuncios tv</t>
        </is>
      </c>
      <c r="I370" s="5" t="n">
        <v>2049.34</v>
      </c>
      <c r="J370" s="3" t="n">
        <v>0.21</v>
      </c>
      <c r="K370" s="5">
        <f>ROUND(I370*(1+J370),2)</f>
        <v/>
      </c>
      <c r="L370" t="inlineStr">
        <is>
          <t>Variable</t>
        </is>
      </c>
      <c r="M370" t="inlineStr">
        <is>
          <t>Administración</t>
        </is>
      </c>
      <c r="N370" t="inlineStr">
        <is>
          <t>Portal corporativo</t>
        </is>
      </c>
    </row>
    <row r="371">
      <c r="A371" t="inlineStr">
        <is>
          <t>GAS-0370</t>
        </is>
      </c>
      <c r="B371" s="2" t="n">
        <v>45428</v>
      </c>
      <c r="C371" t="inlineStr">
        <is>
          <t>Marketing</t>
        </is>
      </c>
      <c r="D371" t="inlineStr">
        <is>
          <t>Ads Google</t>
        </is>
      </c>
      <c r="E371" t="inlineStr">
        <is>
          <t>Legal Iberia</t>
        </is>
      </c>
      <c r="F371" t="inlineStr">
        <is>
          <t>Generación de noticias</t>
        </is>
      </c>
      <c r="G371" t="inlineStr">
        <is>
          <t>Soporte anual</t>
        </is>
      </c>
      <c r="H371" t="inlineStr">
        <is>
          <t>Ads Google para generación de noticias</t>
        </is>
      </c>
      <c r="I371" s="5" t="n">
        <v>519.01</v>
      </c>
      <c r="J371" s="3" t="n">
        <v>0.21</v>
      </c>
      <c r="K371" s="5">
        <f>ROUND(I371*(1+J371),2)</f>
        <v/>
      </c>
      <c r="L371" t="inlineStr">
        <is>
          <t>Fijo</t>
        </is>
      </c>
      <c r="M371" t="inlineStr">
        <is>
          <t>Comercial</t>
        </is>
      </c>
      <c r="N371" t="inlineStr">
        <is>
          <t>Campaña empleo</t>
        </is>
      </c>
    </row>
    <row r="372">
      <c r="A372" t="inlineStr">
        <is>
          <t>GAS-0371</t>
        </is>
      </c>
      <c r="B372" s="2" t="n">
        <v>45617</v>
      </c>
      <c r="C372" t="inlineStr">
        <is>
          <t>Personal</t>
        </is>
      </c>
      <c r="D372" t="inlineStr">
        <is>
          <t>Seguridad Social</t>
        </is>
      </c>
      <c r="E372" t="inlineStr">
        <is>
          <t>CloudPulse</t>
        </is>
      </c>
      <c r="F372" t="inlineStr">
        <is>
          <t>Mantenimiento intranets</t>
        </is>
      </c>
      <c r="G372" t="inlineStr">
        <is>
          <t>Retainer trimestral</t>
        </is>
      </c>
      <c r="H372" t="inlineStr">
        <is>
          <t>Seguridad Social para mantenimiento intranets</t>
        </is>
      </c>
      <c r="I372" s="5" t="n">
        <v>1665.17</v>
      </c>
      <c r="J372" s="3" t="n">
        <v>0.1</v>
      </c>
      <c r="K372" s="5">
        <f>ROUND(I372*(1+J372),2)</f>
        <v/>
      </c>
      <c r="L372" t="inlineStr">
        <is>
          <t>Variable</t>
        </is>
      </c>
      <c r="M372" t="inlineStr">
        <is>
          <t>Marketing</t>
        </is>
      </c>
      <c r="N372" t="inlineStr">
        <is>
          <t>Portal corporativo</t>
        </is>
      </c>
    </row>
    <row r="373">
      <c r="A373" t="inlineStr">
        <is>
          <t>GAS-0372</t>
        </is>
      </c>
      <c r="B373" s="2" t="n">
        <v>45379</v>
      </c>
      <c r="C373" t="inlineStr">
        <is>
          <t>Personal</t>
        </is>
      </c>
      <c r="D373" t="inlineStr">
        <is>
          <t>Seguridad Social</t>
        </is>
      </c>
      <c r="E373" t="inlineStr">
        <is>
          <t>SEO Metrics</t>
        </is>
      </c>
      <c r="F373" t="inlineStr">
        <is>
          <t>Anuncios RRHH</t>
        </is>
      </c>
      <c r="G373" t="inlineStr">
        <is>
          <t>Campaña</t>
        </is>
      </c>
      <c r="H373" t="inlineStr">
        <is>
          <t>Seguridad Social para anuncios rrhh</t>
        </is>
      </c>
      <c r="I373" s="5" t="n">
        <v>7205.19</v>
      </c>
      <c r="J373" s="3" t="n">
        <v>0.21</v>
      </c>
      <c r="K373" s="5">
        <f>ROUND(I373*(1+J373),2)</f>
        <v/>
      </c>
      <c r="L373" t="inlineStr">
        <is>
          <t>Variable</t>
        </is>
      </c>
      <c r="M373" t="inlineStr">
        <is>
          <t>Operaciones</t>
        </is>
      </c>
      <c r="N373" t="inlineStr">
        <is>
          <t>Intranet comercial</t>
        </is>
      </c>
    </row>
    <row r="374">
      <c r="A374" t="inlineStr">
        <is>
          <t>GAS-0373</t>
        </is>
      </c>
      <c r="B374" s="2" t="n">
        <v>45523</v>
      </c>
      <c r="C374" t="inlineStr">
        <is>
          <t>Marketing</t>
        </is>
      </c>
      <c r="D374" t="inlineStr">
        <is>
          <t>Diseño creativo</t>
        </is>
      </c>
      <c r="E374" t="inlineStr">
        <is>
          <t>SEO Metrics</t>
        </is>
      </c>
      <c r="F374" t="inlineStr">
        <is>
          <t>Anuncios RRHH</t>
        </is>
      </c>
      <c r="G374" t="inlineStr">
        <is>
          <t>Campaña</t>
        </is>
      </c>
      <c r="H374" t="inlineStr">
        <is>
          <t>Diseño creativo para anuncios rrhh</t>
        </is>
      </c>
      <c r="I374" s="5" t="n">
        <v>6496.22</v>
      </c>
      <c r="J374" s="3" t="n">
        <v>0</v>
      </c>
      <c r="K374" s="5">
        <f>ROUND(I374*(1+J374),2)</f>
        <v/>
      </c>
      <c r="L374" t="inlineStr">
        <is>
          <t>Fijo</t>
        </is>
      </c>
      <c r="M374" t="inlineStr">
        <is>
          <t>Administración</t>
        </is>
      </c>
      <c r="N374" t="inlineStr">
        <is>
          <t>Sección noticias</t>
        </is>
      </c>
    </row>
    <row r="375">
      <c r="A375" t="inlineStr">
        <is>
          <t>GAS-0374</t>
        </is>
      </c>
      <c r="B375" s="2" t="n">
        <v>45412</v>
      </c>
      <c r="C375" t="inlineStr">
        <is>
          <t>Marketing</t>
        </is>
      </c>
      <c r="D375" t="inlineStr">
        <is>
          <t>Diseño creativo</t>
        </is>
      </c>
      <c r="E375" t="inlineStr">
        <is>
          <t>TVSpot Studio</t>
        </is>
      </c>
      <c r="F375" t="inlineStr">
        <is>
          <t>Anuncios prensa</t>
        </is>
      </c>
      <c r="G375" t="inlineStr">
        <is>
          <t>Soporte anual</t>
        </is>
      </c>
      <c r="H375" t="inlineStr">
        <is>
          <t>Diseño creativo para anuncios prensa</t>
        </is>
      </c>
      <c r="I375" s="5" t="n">
        <v>9091.24</v>
      </c>
      <c r="J375" s="3" t="n">
        <v>0.21</v>
      </c>
      <c r="K375" s="5">
        <f>ROUND(I375*(1+J375),2)</f>
        <v/>
      </c>
      <c r="L375" t="inlineStr">
        <is>
          <t>Variable</t>
        </is>
      </c>
      <c r="M375" t="inlineStr">
        <is>
          <t>Administración</t>
        </is>
      </c>
      <c r="N375" t="inlineStr">
        <is>
          <t>Intranet comercial</t>
        </is>
      </c>
    </row>
    <row r="376">
      <c r="A376" t="inlineStr">
        <is>
          <t>GAS-0375</t>
        </is>
      </c>
      <c r="B376" s="2" t="n">
        <v>45668</v>
      </c>
      <c r="C376" t="inlineStr">
        <is>
          <t>Personal</t>
        </is>
      </c>
      <c r="D376" t="inlineStr">
        <is>
          <t>Salarios</t>
        </is>
      </c>
      <c r="E376" t="inlineStr">
        <is>
          <t>TVSpot Studio</t>
        </is>
      </c>
      <c r="F376" t="inlineStr">
        <is>
          <t>Mantenimiento intranets</t>
        </is>
      </c>
      <c r="G376" t="inlineStr">
        <is>
          <t>Soporte anual</t>
        </is>
      </c>
      <c r="H376" t="inlineStr">
        <is>
          <t>Salarios para mantenimiento intranets</t>
        </is>
      </c>
      <c r="I376" s="5" t="n">
        <v>8442.559999999999</v>
      </c>
      <c r="J376" s="3" t="n">
        <v>0.21</v>
      </c>
      <c r="K376" s="5">
        <f>ROUND(I376*(1+J376),2)</f>
        <v/>
      </c>
      <c r="L376" t="inlineStr">
        <is>
          <t>Variable</t>
        </is>
      </c>
      <c r="M376" t="inlineStr">
        <is>
          <t>Comercial</t>
        </is>
      </c>
      <c r="N376" t="inlineStr">
        <is>
          <t>Microsite RRHH</t>
        </is>
      </c>
    </row>
    <row r="377">
      <c r="A377" t="inlineStr">
        <is>
          <t>GAS-0376</t>
        </is>
      </c>
      <c r="B377" s="2" t="n">
        <v>45617</v>
      </c>
      <c r="C377" t="inlineStr">
        <is>
          <t>Operaciones</t>
        </is>
      </c>
      <c r="D377" t="inlineStr">
        <is>
          <t>Subtitulación</t>
        </is>
      </c>
      <c r="E377" t="inlineStr">
        <is>
          <t>AdVision</t>
        </is>
      </c>
      <c r="F377" t="inlineStr">
        <is>
          <t>Anuncios RRHH</t>
        </is>
      </c>
      <c r="G377" t="inlineStr">
        <is>
          <t>Soporte anual</t>
        </is>
      </c>
      <c r="H377" t="inlineStr">
        <is>
          <t>Subtitulación para anuncios rrhh</t>
        </is>
      </c>
      <c r="I377" s="5" t="n">
        <v>4168.04</v>
      </c>
      <c r="J377" s="3" t="n">
        <v>0.1</v>
      </c>
      <c r="K377" s="5">
        <f>ROUND(I377*(1+J377),2)</f>
        <v/>
      </c>
      <c r="L377" t="inlineStr">
        <is>
          <t>Variable</t>
        </is>
      </c>
      <c r="M377" t="inlineStr">
        <is>
          <t>Comercial</t>
        </is>
      </c>
      <c r="N377" t="inlineStr">
        <is>
          <t>Microsite RRHH</t>
        </is>
      </c>
    </row>
    <row r="378">
      <c r="A378" t="inlineStr">
        <is>
          <t>GAS-0377</t>
        </is>
      </c>
      <c r="B378" s="2" t="n">
        <v>45564</v>
      </c>
      <c r="C378" t="inlineStr">
        <is>
          <t>Tecnología</t>
        </is>
      </c>
      <c r="D378" t="inlineStr">
        <is>
          <t>Software traducción</t>
        </is>
      </c>
      <c r="E378" t="inlineStr">
        <is>
          <t>AdVision</t>
        </is>
      </c>
      <c r="F378" t="inlineStr">
        <is>
          <t>Generación de noticias</t>
        </is>
      </c>
      <c r="G378" t="inlineStr">
        <is>
          <t>Campaña</t>
        </is>
      </c>
      <c r="H378" t="inlineStr">
        <is>
          <t>Software traducción para generación de noticias</t>
        </is>
      </c>
      <c r="I378" s="5" t="n">
        <v>1122.74</v>
      </c>
      <c r="J378" s="3" t="n">
        <v>0.21</v>
      </c>
      <c r="K378" s="5">
        <f>ROUND(I378*(1+J378),2)</f>
        <v/>
      </c>
      <c r="L378" t="inlineStr">
        <is>
          <t>Fijo</t>
        </is>
      </c>
      <c r="M378" t="inlineStr">
        <is>
          <t>Marketing</t>
        </is>
      </c>
      <c r="N378" t="inlineStr">
        <is>
          <t>Microsite RRHH</t>
        </is>
      </c>
    </row>
    <row r="379">
      <c r="A379" t="inlineStr">
        <is>
          <t>GAS-0378</t>
        </is>
      </c>
      <c r="B379" s="2" t="n">
        <v>45598</v>
      </c>
      <c r="C379" t="inlineStr">
        <is>
          <t>Administración</t>
        </is>
      </c>
      <c r="D379" t="inlineStr">
        <is>
          <t>Gestoría</t>
        </is>
      </c>
      <c r="E379" t="inlineStr">
        <is>
          <t>CloudPulse</t>
        </is>
      </c>
      <c r="F379" t="inlineStr">
        <is>
          <t>Mantenimiento intranets</t>
        </is>
      </c>
      <c r="G379" t="inlineStr">
        <is>
          <t>Campaña</t>
        </is>
      </c>
      <c r="H379" t="inlineStr">
        <is>
          <t>Gestoría para mantenimiento intranets</t>
        </is>
      </c>
      <c r="I379" s="5" t="n">
        <v>3496.29</v>
      </c>
      <c r="J379" s="3" t="n">
        <v>0</v>
      </c>
      <c r="K379" s="5">
        <f>ROUND(I379*(1+J379),2)</f>
        <v/>
      </c>
      <c r="L379" t="inlineStr">
        <is>
          <t>Variable</t>
        </is>
      </c>
      <c r="M379" t="inlineStr">
        <is>
          <t>Administración</t>
        </is>
      </c>
      <c r="N379" t="inlineStr">
        <is>
          <t>Campaña empleo</t>
        </is>
      </c>
    </row>
    <row r="380">
      <c r="A380" t="inlineStr">
        <is>
          <t>GAS-0379</t>
        </is>
      </c>
      <c r="B380" s="2" t="n">
        <v>45491</v>
      </c>
      <c r="C380" t="inlineStr">
        <is>
          <t>Personal</t>
        </is>
      </c>
      <c r="D380" t="inlineStr">
        <is>
          <t>Formación</t>
        </is>
      </c>
      <c r="E380" t="inlineStr">
        <is>
          <t>NominaPlus</t>
        </is>
      </c>
      <c r="F380" t="inlineStr">
        <is>
          <t>Anuncios internet</t>
        </is>
      </c>
      <c r="G380" t="inlineStr">
        <is>
          <t>Soporte anual</t>
        </is>
      </c>
      <c r="H380" t="inlineStr">
        <is>
          <t>Formación para anuncios internet</t>
        </is>
      </c>
      <c r="I380" s="5" t="n">
        <v>6195.85</v>
      </c>
      <c r="J380" s="3" t="n">
        <v>0.21</v>
      </c>
      <c r="K380" s="5">
        <f>ROUND(I380*(1+J380),2)</f>
        <v/>
      </c>
      <c r="L380" t="inlineStr">
        <is>
          <t>Fijo</t>
        </is>
      </c>
      <c r="M380" t="inlineStr">
        <is>
          <t>Marketing</t>
        </is>
      </c>
      <c r="N380" t="inlineStr">
        <is>
          <t>Portal internacional</t>
        </is>
      </c>
    </row>
    <row r="381">
      <c r="A381" t="inlineStr">
        <is>
          <t>GAS-0380</t>
        </is>
      </c>
      <c r="B381" s="2" t="n">
        <v>45307</v>
      </c>
      <c r="C381" t="inlineStr">
        <is>
          <t>Marketing</t>
        </is>
      </c>
      <c r="D381" t="inlineStr">
        <is>
          <t>Ads Google</t>
        </is>
      </c>
      <c r="E381" t="inlineStr">
        <is>
          <t>NoticiasPro</t>
        </is>
      </c>
      <c r="F381" t="inlineStr">
        <is>
          <t>Publicación de noticias</t>
        </is>
      </c>
      <c r="G381" t="inlineStr">
        <is>
          <t>Soporte anual</t>
        </is>
      </c>
      <c r="H381" t="inlineStr">
        <is>
          <t>Ads Google para publicación de noticias</t>
        </is>
      </c>
      <c r="I381" s="5" t="n">
        <v>2637.49</v>
      </c>
      <c r="J381" s="3" t="n">
        <v>0.21</v>
      </c>
      <c r="K381" s="5">
        <f>ROUND(I381*(1+J381),2)</f>
        <v/>
      </c>
      <c r="L381" t="inlineStr">
        <is>
          <t>Variable</t>
        </is>
      </c>
      <c r="M381" t="inlineStr">
        <is>
          <t>Comercial</t>
        </is>
      </c>
      <c r="N381" t="inlineStr">
        <is>
          <t>Intranet operaciones</t>
        </is>
      </c>
    </row>
    <row r="382">
      <c r="A382" t="inlineStr">
        <is>
          <t>GAS-0381</t>
        </is>
      </c>
      <c r="B382" s="2" t="n">
        <v>45373</v>
      </c>
      <c r="C382" t="inlineStr">
        <is>
          <t>Administración</t>
        </is>
      </c>
      <c r="D382" t="inlineStr">
        <is>
          <t>Telefonía</t>
        </is>
      </c>
      <c r="E382" t="inlineStr">
        <is>
          <t>NoticiasPro</t>
        </is>
      </c>
      <c r="F382" t="inlineStr">
        <is>
          <t>Anuncios internet</t>
        </is>
      </c>
      <c r="G382" t="inlineStr">
        <is>
          <t>Campaña</t>
        </is>
      </c>
      <c r="H382" t="inlineStr">
        <is>
          <t>Telefonía para anuncios internet</t>
        </is>
      </c>
      <c r="I382" s="5" t="n">
        <v>3228.53</v>
      </c>
      <c r="J382" s="3" t="n">
        <v>0</v>
      </c>
      <c r="K382" s="5">
        <f>ROUND(I382*(1+J382),2)</f>
        <v/>
      </c>
      <c r="L382" t="inlineStr">
        <is>
          <t>Fijo</t>
        </is>
      </c>
      <c r="M382" t="inlineStr">
        <is>
          <t>Operaciones</t>
        </is>
      </c>
      <c r="N382" t="inlineStr">
        <is>
          <t>Microsite RRHH</t>
        </is>
      </c>
    </row>
    <row r="383">
      <c r="A383" t="inlineStr">
        <is>
          <t>GAS-0382</t>
        </is>
      </c>
      <c r="B383" s="2" t="n">
        <v>45689</v>
      </c>
      <c r="C383" t="inlineStr">
        <is>
          <t>Operaciones</t>
        </is>
      </c>
      <c r="D383" t="inlineStr">
        <is>
          <t>QA intranet</t>
        </is>
      </c>
      <c r="E383" t="inlineStr">
        <is>
          <t>CloudPulse</t>
        </is>
      </c>
      <c r="F383" t="inlineStr">
        <is>
          <t>Anuncios prensa</t>
        </is>
      </c>
      <c r="G383" t="inlineStr">
        <is>
          <t>Soporte anual</t>
        </is>
      </c>
      <c r="H383" t="inlineStr">
        <is>
          <t>QA intranet para anuncios prensa</t>
        </is>
      </c>
      <c r="I383" s="5" t="n">
        <v>4338.46</v>
      </c>
      <c r="J383" s="3" t="n">
        <v>0</v>
      </c>
      <c r="K383" s="5">
        <f>ROUND(I383*(1+J383),2)</f>
        <v/>
      </c>
      <c r="L383" t="inlineStr">
        <is>
          <t>Variable</t>
        </is>
      </c>
      <c r="M383" t="inlineStr">
        <is>
          <t>Marketing</t>
        </is>
      </c>
      <c r="N383" t="inlineStr">
        <is>
          <t>Portal corporativo</t>
        </is>
      </c>
    </row>
    <row r="384">
      <c r="A384" t="inlineStr">
        <is>
          <t>GAS-0383</t>
        </is>
      </c>
      <c r="B384" s="2" t="n">
        <v>45355</v>
      </c>
      <c r="C384" t="inlineStr">
        <is>
          <t>Personal</t>
        </is>
      </c>
      <c r="D384" t="inlineStr">
        <is>
          <t>Seguridad Social</t>
        </is>
      </c>
      <c r="E384" t="inlineStr">
        <is>
          <t>LinguaTech</t>
        </is>
      </c>
      <c r="F384" t="inlineStr">
        <is>
          <t>Mantenimiento web</t>
        </is>
      </c>
      <c r="G384" t="inlineStr">
        <is>
          <t>Proyecto puntual</t>
        </is>
      </c>
      <c r="H384" t="inlineStr">
        <is>
          <t>Seguridad Social para mantenimiento web</t>
        </is>
      </c>
      <c r="I384" s="5" t="n">
        <v>3852.62</v>
      </c>
      <c r="J384" s="3" t="n">
        <v>0.21</v>
      </c>
      <c r="K384" s="5">
        <f>ROUND(I384*(1+J384),2)</f>
        <v/>
      </c>
      <c r="L384" t="inlineStr">
        <is>
          <t>Fijo</t>
        </is>
      </c>
      <c r="M384" t="inlineStr">
        <is>
          <t>Comercial</t>
        </is>
      </c>
      <c r="N384" t="inlineStr">
        <is>
          <t>Portal internacional</t>
        </is>
      </c>
    </row>
    <row r="385">
      <c r="A385" t="inlineStr">
        <is>
          <t>GAS-0384</t>
        </is>
      </c>
      <c r="B385" s="2" t="n">
        <v>45329</v>
      </c>
      <c r="C385" t="inlineStr">
        <is>
          <t>Tecnología</t>
        </is>
      </c>
      <c r="D385" t="inlineStr">
        <is>
          <t>Herramientas SEO</t>
        </is>
      </c>
      <c r="E385" t="inlineStr">
        <is>
          <t>Legal Iberia</t>
        </is>
      </c>
      <c r="F385" t="inlineStr">
        <is>
          <t>Publicación de noticias</t>
        </is>
      </c>
      <c r="G385" t="inlineStr">
        <is>
          <t>Campaña</t>
        </is>
      </c>
      <c r="H385" t="inlineStr">
        <is>
          <t>Herramientas SEO para publicación de noticias</t>
        </is>
      </c>
      <c r="I385" s="5" t="n">
        <v>1925.68</v>
      </c>
      <c r="J385" s="3" t="n">
        <v>0.21</v>
      </c>
      <c r="K385" s="5">
        <f>ROUND(I385*(1+J385),2)</f>
        <v/>
      </c>
      <c r="L385" t="inlineStr">
        <is>
          <t>Variable</t>
        </is>
      </c>
      <c r="M385" t="inlineStr">
        <is>
          <t>Tecnología</t>
        </is>
      </c>
      <c r="N385" t="inlineStr">
        <is>
          <t>Centro de prensa</t>
        </is>
      </c>
    </row>
    <row r="386">
      <c r="A386" t="inlineStr">
        <is>
          <t>GAS-0385</t>
        </is>
      </c>
      <c r="B386" s="2" t="n">
        <v>45439</v>
      </c>
      <c r="C386" t="inlineStr">
        <is>
          <t>Marketing</t>
        </is>
      </c>
      <c r="D386" t="inlineStr">
        <is>
          <t>Ads prensa local</t>
        </is>
      </c>
      <c r="E386" t="inlineStr">
        <is>
          <t>Acme Hosting</t>
        </is>
      </c>
      <c r="F386" t="inlineStr">
        <is>
          <t>Anuncios internet</t>
        </is>
      </c>
      <c r="G386" t="inlineStr">
        <is>
          <t>Proyecto puntual</t>
        </is>
      </c>
      <c r="H386" t="inlineStr">
        <is>
          <t>Ads prensa local para anuncios internet</t>
        </is>
      </c>
      <c r="I386" s="5" t="n">
        <v>7254.81</v>
      </c>
      <c r="J386" s="3" t="n">
        <v>0.21</v>
      </c>
      <c r="K386" s="5">
        <f>ROUND(I386*(1+J386),2)</f>
        <v/>
      </c>
      <c r="L386" t="inlineStr">
        <is>
          <t>Variable</t>
        </is>
      </c>
      <c r="M386" t="inlineStr">
        <is>
          <t>Tecnología</t>
        </is>
      </c>
      <c r="N386" t="inlineStr">
        <is>
          <t>Centro de prensa</t>
        </is>
      </c>
    </row>
    <row r="387">
      <c r="A387" t="inlineStr">
        <is>
          <t>GAS-0386</t>
        </is>
      </c>
      <c r="B387" s="2" t="n">
        <v>45367</v>
      </c>
      <c r="C387" t="inlineStr">
        <is>
          <t>Operaciones</t>
        </is>
      </c>
      <c r="D387" t="inlineStr">
        <is>
          <t>Revisión editorial</t>
        </is>
      </c>
      <c r="E387" t="inlineStr">
        <is>
          <t>CloudPulse</t>
        </is>
      </c>
      <c r="F387" t="inlineStr">
        <is>
          <t>Generación de noticias</t>
        </is>
      </c>
      <c r="G387" t="inlineStr">
        <is>
          <t>Retainer trimestral</t>
        </is>
      </c>
      <c r="H387" t="inlineStr">
        <is>
          <t>Revisión editorial para generación de noticias</t>
        </is>
      </c>
      <c r="I387" s="5" t="n">
        <v>4500.84</v>
      </c>
      <c r="J387" s="3" t="n">
        <v>0.21</v>
      </c>
      <c r="K387" s="5">
        <f>ROUND(I387*(1+J387),2)</f>
        <v/>
      </c>
      <c r="L387" t="inlineStr">
        <is>
          <t>Variable</t>
        </is>
      </c>
      <c r="M387" t="inlineStr">
        <is>
          <t>Comercial</t>
        </is>
      </c>
      <c r="N387" t="inlineStr">
        <is>
          <t>Portal corporativo</t>
        </is>
      </c>
    </row>
    <row r="388">
      <c r="A388" t="inlineStr">
        <is>
          <t>GAS-0387</t>
        </is>
      </c>
      <c r="B388" s="2" t="n">
        <v>45499</v>
      </c>
      <c r="C388" t="inlineStr">
        <is>
          <t>Operaciones</t>
        </is>
      </c>
      <c r="D388" t="inlineStr">
        <is>
          <t>Subtitulación</t>
        </is>
      </c>
      <c r="E388" t="inlineStr">
        <is>
          <t>Legal Iberia</t>
        </is>
      </c>
      <c r="F388" t="inlineStr">
        <is>
          <t>Publicación de noticias</t>
        </is>
      </c>
      <c r="G388" t="inlineStr">
        <is>
          <t>Soporte anual</t>
        </is>
      </c>
      <c r="H388" t="inlineStr">
        <is>
          <t>Subtitulación para publicación de noticias</t>
        </is>
      </c>
      <c r="I388" s="5" t="n">
        <v>4510.92</v>
      </c>
      <c r="J388" s="3" t="n">
        <v>0.21</v>
      </c>
      <c r="K388" s="5">
        <f>ROUND(I388*(1+J388),2)</f>
        <v/>
      </c>
      <c r="L388" t="inlineStr">
        <is>
          <t>Variable</t>
        </is>
      </c>
      <c r="M388" t="inlineStr">
        <is>
          <t>Comercial</t>
        </is>
      </c>
      <c r="N388" t="inlineStr">
        <is>
          <t>Portal internacional</t>
        </is>
      </c>
    </row>
    <row r="389">
      <c r="A389" t="inlineStr">
        <is>
          <t>GAS-0388</t>
        </is>
      </c>
      <c r="B389" s="2" t="n">
        <v>45634</v>
      </c>
      <c r="C389" t="inlineStr">
        <is>
          <t>Tecnología</t>
        </is>
      </c>
      <c r="D389" t="inlineStr">
        <is>
          <t>Software traducción</t>
        </is>
      </c>
      <c r="E389" t="inlineStr">
        <is>
          <t>LinguaTech</t>
        </is>
      </c>
      <c r="F389" t="inlineStr">
        <is>
          <t>Anuncios internet</t>
        </is>
      </c>
      <c r="G389" t="inlineStr">
        <is>
          <t>Retainer trimestral</t>
        </is>
      </c>
      <c r="H389" t="inlineStr">
        <is>
          <t>Software traducción para anuncios internet</t>
        </is>
      </c>
      <c r="I389" s="5" t="n">
        <v>2100.21</v>
      </c>
      <c r="J389" s="3" t="n">
        <v>0.21</v>
      </c>
      <c r="K389" s="5">
        <f>ROUND(I389*(1+J389),2)</f>
        <v/>
      </c>
      <c r="L389" t="inlineStr">
        <is>
          <t>Variable</t>
        </is>
      </c>
      <c r="M389" t="inlineStr">
        <is>
          <t>Comercial</t>
        </is>
      </c>
      <c r="N389" t="inlineStr">
        <is>
          <t>Campaña empleo</t>
        </is>
      </c>
    </row>
    <row r="390">
      <c r="A390" t="inlineStr">
        <is>
          <t>GAS-0389</t>
        </is>
      </c>
      <c r="B390" s="2" t="n">
        <v>45722</v>
      </c>
      <c r="C390" t="inlineStr">
        <is>
          <t>Personal</t>
        </is>
      </c>
      <c r="D390" t="inlineStr">
        <is>
          <t>Formación</t>
        </is>
      </c>
      <c r="E390" t="inlineStr">
        <is>
          <t>Redacción Global</t>
        </is>
      </c>
      <c r="F390" t="inlineStr">
        <is>
          <t>Traducciones</t>
        </is>
      </c>
      <c r="G390" t="inlineStr">
        <is>
          <t>Soporte anual</t>
        </is>
      </c>
      <c r="H390" t="inlineStr">
        <is>
          <t>Formación para traducciones</t>
        </is>
      </c>
      <c r="I390" s="5" t="n">
        <v>5944.98</v>
      </c>
      <c r="J390" s="3" t="n">
        <v>0.21</v>
      </c>
      <c r="K390" s="5">
        <f>ROUND(I390*(1+J390),2)</f>
        <v/>
      </c>
      <c r="L390" t="inlineStr">
        <is>
          <t>Fijo</t>
        </is>
      </c>
      <c r="M390" t="inlineStr">
        <is>
          <t>Tecnología</t>
        </is>
      </c>
      <c r="N390" t="inlineStr">
        <is>
          <t>Portal corporativo</t>
        </is>
      </c>
    </row>
    <row r="391">
      <c r="A391" t="inlineStr">
        <is>
          <t>GAS-0390</t>
        </is>
      </c>
      <c r="B391" s="2" t="n">
        <v>45332</v>
      </c>
      <c r="C391" t="inlineStr">
        <is>
          <t>Tecnología</t>
        </is>
      </c>
      <c r="D391" t="inlineStr">
        <is>
          <t>Hosting</t>
        </is>
      </c>
      <c r="E391" t="inlineStr">
        <is>
          <t>Acme Hosting</t>
        </is>
      </c>
      <c r="F391" t="inlineStr">
        <is>
          <t>Anuncios RRHH</t>
        </is>
      </c>
      <c r="G391" t="inlineStr">
        <is>
          <t>Campaña</t>
        </is>
      </c>
      <c r="H391" t="inlineStr">
        <is>
          <t>Hosting para anuncios rrhh</t>
        </is>
      </c>
      <c r="I391" s="5" t="n">
        <v>709.8200000000001</v>
      </c>
      <c r="J391" s="3" t="n">
        <v>0.1</v>
      </c>
      <c r="K391" s="5">
        <f>ROUND(I391*(1+J391),2)</f>
        <v/>
      </c>
      <c r="L391" t="inlineStr">
        <is>
          <t>Fijo</t>
        </is>
      </c>
      <c r="M391" t="inlineStr">
        <is>
          <t>Comercial</t>
        </is>
      </c>
      <c r="N391" t="inlineStr">
        <is>
          <t>Centro de prensa</t>
        </is>
      </c>
    </row>
    <row r="392">
      <c r="A392" t="inlineStr">
        <is>
          <t>GAS-0391</t>
        </is>
      </c>
      <c r="B392" s="2" t="n">
        <v>45434</v>
      </c>
      <c r="C392" t="inlineStr">
        <is>
          <t>Marketing</t>
        </is>
      </c>
      <c r="D392" t="inlineStr">
        <is>
          <t>Ads Google</t>
        </is>
      </c>
      <c r="E392" t="inlineStr">
        <is>
          <t>LinguaTech</t>
        </is>
      </c>
      <c r="F392" t="inlineStr">
        <is>
          <t>Mantenimiento intranets</t>
        </is>
      </c>
      <c r="G392" t="inlineStr">
        <is>
          <t>Proyecto puntual</t>
        </is>
      </c>
      <c r="H392" t="inlineStr">
        <is>
          <t>Ads Google para mantenimiento intranets</t>
        </is>
      </c>
      <c r="I392" s="5" t="n">
        <v>2375.94</v>
      </c>
      <c r="J392" s="3" t="n">
        <v>0</v>
      </c>
      <c r="K392" s="5">
        <f>ROUND(I392*(1+J392),2)</f>
        <v/>
      </c>
      <c r="L392" t="inlineStr">
        <is>
          <t>Fijo</t>
        </is>
      </c>
      <c r="M392" t="inlineStr">
        <is>
          <t>Administración</t>
        </is>
      </c>
      <c r="N392" t="inlineStr">
        <is>
          <t>Centro de prensa</t>
        </is>
      </c>
    </row>
    <row r="393">
      <c r="A393" t="inlineStr">
        <is>
          <t>GAS-0392</t>
        </is>
      </c>
      <c r="B393" s="2" t="n">
        <v>45455</v>
      </c>
      <c r="C393" t="inlineStr">
        <is>
          <t>Personal</t>
        </is>
      </c>
      <c r="D393" t="inlineStr">
        <is>
          <t>Salarios</t>
        </is>
      </c>
      <c r="E393" t="inlineStr">
        <is>
          <t>SEO Metrics</t>
        </is>
      </c>
      <c r="F393" t="inlineStr">
        <is>
          <t>Mantenimiento intranets</t>
        </is>
      </c>
      <c r="G393" t="inlineStr">
        <is>
          <t>Suscripción mensual</t>
        </is>
      </c>
      <c r="H393" t="inlineStr">
        <is>
          <t>Salarios para mantenimiento intranets</t>
        </is>
      </c>
      <c r="I393" s="5" t="n">
        <v>5475.44</v>
      </c>
      <c r="J393" s="3" t="n">
        <v>0.21</v>
      </c>
      <c r="K393" s="5">
        <f>ROUND(I393*(1+J393),2)</f>
        <v/>
      </c>
      <c r="L393" t="inlineStr">
        <is>
          <t>Variable</t>
        </is>
      </c>
      <c r="M393" t="inlineStr">
        <is>
          <t>Operaciones</t>
        </is>
      </c>
      <c r="N393" t="inlineStr">
        <is>
          <t>Intranet operaciones</t>
        </is>
      </c>
    </row>
    <row r="394">
      <c r="A394" t="inlineStr">
        <is>
          <t>GAS-0393</t>
        </is>
      </c>
      <c r="B394" s="2" t="n">
        <v>45732</v>
      </c>
      <c r="C394" t="inlineStr">
        <is>
          <t>Personal</t>
        </is>
      </c>
      <c r="D394" t="inlineStr">
        <is>
          <t>Salarios</t>
        </is>
      </c>
      <c r="E394" t="inlineStr">
        <is>
          <t>LinguaTech</t>
        </is>
      </c>
      <c r="F394" t="inlineStr">
        <is>
          <t>Traducciones</t>
        </is>
      </c>
      <c r="G394" t="inlineStr">
        <is>
          <t>Campaña</t>
        </is>
      </c>
      <c r="H394" t="inlineStr">
        <is>
          <t>Salarios para traducciones</t>
        </is>
      </c>
      <c r="I394" s="5" t="n">
        <v>5159.29</v>
      </c>
      <c r="J394" s="3" t="n">
        <v>0.21</v>
      </c>
      <c r="K394" s="5">
        <f>ROUND(I394*(1+J394),2)</f>
        <v/>
      </c>
      <c r="L394" t="inlineStr">
        <is>
          <t>Variable</t>
        </is>
      </c>
      <c r="M394" t="inlineStr">
        <is>
          <t>Operaciones</t>
        </is>
      </c>
      <c r="N394" t="inlineStr">
        <is>
          <t>Centro de prensa</t>
        </is>
      </c>
    </row>
    <row r="395">
      <c r="A395" t="inlineStr">
        <is>
          <t>GAS-0394</t>
        </is>
      </c>
      <c r="B395" s="2" t="n">
        <v>45445</v>
      </c>
      <c r="C395" t="inlineStr">
        <is>
          <t>Marketing</t>
        </is>
      </c>
      <c r="D395" t="inlineStr">
        <is>
          <t>Diseño creativo</t>
        </is>
      </c>
      <c r="E395" t="inlineStr">
        <is>
          <t>IntraSys</t>
        </is>
      </c>
      <c r="F395" t="inlineStr">
        <is>
          <t>Generación de noticias</t>
        </is>
      </c>
      <c r="G395" t="inlineStr">
        <is>
          <t>Soporte anual</t>
        </is>
      </c>
      <c r="H395" t="inlineStr">
        <is>
          <t>Diseño creativo para generación de noticias</t>
        </is>
      </c>
      <c r="I395" s="5" t="n">
        <v>6235.33</v>
      </c>
      <c r="J395" s="3" t="n">
        <v>0.21</v>
      </c>
      <c r="K395" s="5">
        <f>ROUND(I395*(1+J395),2)</f>
        <v/>
      </c>
      <c r="L395" t="inlineStr">
        <is>
          <t>Variable</t>
        </is>
      </c>
      <c r="M395" t="inlineStr">
        <is>
          <t>Tecnología</t>
        </is>
      </c>
      <c r="N395" t="inlineStr">
        <is>
          <t>Centro de prensa</t>
        </is>
      </c>
    </row>
    <row r="396">
      <c r="A396" t="inlineStr">
        <is>
          <t>GAS-0395</t>
        </is>
      </c>
      <c r="B396" s="2" t="n">
        <v>45325</v>
      </c>
      <c r="C396" t="inlineStr">
        <is>
          <t>Marketing</t>
        </is>
      </c>
      <c r="D396" t="inlineStr">
        <is>
          <t>Ads LinkedIn</t>
        </is>
      </c>
      <c r="E396" t="inlineStr">
        <is>
          <t>TVSpot Studio</t>
        </is>
      </c>
      <c r="F396" t="inlineStr">
        <is>
          <t>Publicación de noticias</t>
        </is>
      </c>
      <c r="G396" t="inlineStr">
        <is>
          <t>Retainer trimestral</t>
        </is>
      </c>
      <c r="H396" t="inlineStr">
        <is>
          <t>Ads LinkedIn para publicación de noticias</t>
        </is>
      </c>
      <c r="I396" s="5" t="n">
        <v>11699.95</v>
      </c>
      <c r="J396" s="3" t="n">
        <v>0</v>
      </c>
      <c r="K396" s="5">
        <f>ROUND(I396*(1+J396),2)</f>
        <v/>
      </c>
      <c r="L396" t="inlineStr">
        <is>
          <t>Variable</t>
        </is>
      </c>
      <c r="M396" t="inlineStr">
        <is>
          <t>Tecnología</t>
        </is>
      </c>
      <c r="N396" t="inlineStr">
        <is>
          <t>Sección noticias</t>
        </is>
      </c>
    </row>
    <row r="397">
      <c r="A397" t="inlineStr">
        <is>
          <t>GAS-0396</t>
        </is>
      </c>
      <c r="B397" s="2" t="n">
        <v>45445</v>
      </c>
      <c r="C397" t="inlineStr">
        <is>
          <t>Personal</t>
        </is>
      </c>
      <c r="D397" t="inlineStr">
        <is>
          <t>Salarios</t>
        </is>
      </c>
      <c r="E397" t="inlineStr">
        <is>
          <t>CloudPulse</t>
        </is>
      </c>
      <c r="F397" t="inlineStr">
        <is>
          <t>Mantenimiento intranets</t>
        </is>
      </c>
      <c r="G397" t="inlineStr">
        <is>
          <t>Proyecto puntual</t>
        </is>
      </c>
      <c r="H397" t="inlineStr">
        <is>
          <t>Salarios para mantenimiento intranets</t>
        </is>
      </c>
      <c r="I397" s="5" t="n">
        <v>2756.48</v>
      </c>
      <c r="J397" s="3" t="n">
        <v>0.1</v>
      </c>
      <c r="K397" s="5">
        <f>ROUND(I397*(1+J397),2)</f>
        <v/>
      </c>
      <c r="L397" t="inlineStr">
        <is>
          <t>Fijo</t>
        </is>
      </c>
      <c r="M397" t="inlineStr">
        <is>
          <t>Tecnología</t>
        </is>
      </c>
      <c r="N397" t="inlineStr">
        <is>
          <t>Sección noticias</t>
        </is>
      </c>
    </row>
    <row r="398">
      <c r="A398" t="inlineStr">
        <is>
          <t>GAS-0397</t>
        </is>
      </c>
      <c r="B398" s="2" t="n">
        <v>45626</v>
      </c>
      <c r="C398" t="inlineStr">
        <is>
          <t>Personal</t>
        </is>
      </c>
      <c r="D398" t="inlineStr">
        <is>
          <t>Seguridad Social</t>
        </is>
      </c>
      <c r="E398" t="inlineStr">
        <is>
          <t>CloudPulse</t>
        </is>
      </c>
      <c r="F398" t="inlineStr">
        <is>
          <t>Publicación de noticias</t>
        </is>
      </c>
      <c r="G398" t="inlineStr">
        <is>
          <t>Campaña</t>
        </is>
      </c>
      <c r="H398" t="inlineStr">
        <is>
          <t>Seguridad Social para publicación de noticias</t>
        </is>
      </c>
      <c r="I398" s="5" t="n">
        <v>7422.21</v>
      </c>
      <c r="J398" s="3" t="n">
        <v>0.21</v>
      </c>
      <c r="K398" s="5">
        <f>ROUND(I398*(1+J398),2)</f>
        <v/>
      </c>
      <c r="L398" t="inlineStr">
        <is>
          <t>Fijo</t>
        </is>
      </c>
      <c r="M398" t="inlineStr">
        <is>
          <t>Tecnología</t>
        </is>
      </c>
      <c r="N398" t="inlineStr">
        <is>
          <t>Intranet operaciones</t>
        </is>
      </c>
    </row>
    <row r="399">
      <c r="A399" t="inlineStr">
        <is>
          <t>GAS-0398</t>
        </is>
      </c>
      <c r="B399" s="2" t="n">
        <v>45509</v>
      </c>
      <c r="C399" t="inlineStr">
        <is>
          <t>Operaciones</t>
        </is>
      </c>
      <c r="D399" t="inlineStr">
        <is>
          <t>Subtitulación</t>
        </is>
      </c>
      <c r="E399" t="inlineStr">
        <is>
          <t>CloudPulse</t>
        </is>
      </c>
      <c r="F399" t="inlineStr">
        <is>
          <t>Anuncios RRHH</t>
        </is>
      </c>
      <c r="G399" t="inlineStr">
        <is>
          <t>Campaña</t>
        </is>
      </c>
      <c r="H399" t="inlineStr">
        <is>
          <t>Subtitulación para anuncios rrhh</t>
        </is>
      </c>
      <c r="I399" s="5" t="n">
        <v>4509.5</v>
      </c>
      <c r="J399" s="3" t="n">
        <v>0.21</v>
      </c>
      <c r="K399" s="5">
        <f>ROUND(I399*(1+J399),2)</f>
        <v/>
      </c>
      <c r="L399" t="inlineStr">
        <is>
          <t>Fijo</t>
        </is>
      </c>
      <c r="M399" t="inlineStr">
        <is>
          <t>Marketing</t>
        </is>
      </c>
      <c r="N399" t="inlineStr">
        <is>
          <t>Portal corporativo</t>
        </is>
      </c>
    </row>
    <row r="400">
      <c r="A400" t="inlineStr">
        <is>
          <t>GAS-0399</t>
        </is>
      </c>
      <c r="B400" s="2" t="n">
        <v>45658</v>
      </c>
      <c r="C400" t="inlineStr">
        <is>
          <t>Administración</t>
        </is>
      </c>
      <c r="D400" t="inlineStr">
        <is>
          <t>Asesoría legal</t>
        </is>
      </c>
      <c r="E400" t="inlineStr">
        <is>
          <t>IntraSys</t>
        </is>
      </c>
      <c r="F400" t="inlineStr">
        <is>
          <t>Publicación de noticias</t>
        </is>
      </c>
      <c r="G400" t="inlineStr">
        <is>
          <t>Retainer trimestral</t>
        </is>
      </c>
      <c r="H400" t="inlineStr">
        <is>
          <t>Asesoría legal para publicación de noticias</t>
        </is>
      </c>
      <c r="I400" s="5" t="n">
        <v>809.27</v>
      </c>
      <c r="J400" s="3" t="n">
        <v>0.21</v>
      </c>
      <c r="K400" s="5">
        <f>ROUND(I400*(1+J400),2)</f>
        <v/>
      </c>
      <c r="L400" t="inlineStr">
        <is>
          <t>Fijo</t>
        </is>
      </c>
      <c r="M400" t="inlineStr">
        <is>
          <t>Tecnología</t>
        </is>
      </c>
      <c r="N400" t="inlineStr">
        <is>
          <t>Microsite RRHH</t>
        </is>
      </c>
    </row>
    <row r="401">
      <c r="A401" t="inlineStr">
        <is>
          <t>GAS-0400</t>
        </is>
      </c>
      <c r="B401" s="2" t="n">
        <v>45346</v>
      </c>
      <c r="C401" t="inlineStr">
        <is>
          <t>Marketing</t>
        </is>
      </c>
      <c r="D401" t="inlineStr">
        <is>
          <t>Ads prensa local</t>
        </is>
      </c>
      <c r="E401" t="inlineStr">
        <is>
          <t>LinguaTech</t>
        </is>
      </c>
      <c r="F401" t="inlineStr">
        <is>
          <t>Anuncios TV</t>
        </is>
      </c>
      <c r="G401" t="inlineStr">
        <is>
          <t>Proyecto puntual</t>
        </is>
      </c>
      <c r="H401" t="inlineStr">
        <is>
          <t>Ads prensa local para anuncios tv</t>
        </is>
      </c>
      <c r="I401" s="5" t="n">
        <v>2815.26</v>
      </c>
      <c r="J401" s="3" t="n">
        <v>0.21</v>
      </c>
      <c r="K401" s="5">
        <f>ROUND(I401*(1+J401),2)</f>
        <v/>
      </c>
      <c r="L401" t="inlineStr">
        <is>
          <t>Variable</t>
        </is>
      </c>
      <c r="M401" t="inlineStr">
        <is>
          <t>Marketing</t>
        </is>
      </c>
      <c r="N401" t="inlineStr">
        <is>
          <t>Intranet operaciones</t>
        </is>
      </c>
    </row>
    <row r="402">
      <c r="A402" t="inlineStr">
        <is>
          <t>GAS-0401</t>
        </is>
      </c>
      <c r="B402" s="2" t="n">
        <v>45484</v>
      </c>
      <c r="C402" t="inlineStr">
        <is>
          <t>Administración</t>
        </is>
      </c>
      <c r="D402" t="inlineStr">
        <is>
          <t>Alquiler oficina</t>
        </is>
      </c>
      <c r="E402" t="inlineStr">
        <is>
          <t>Acme Hosting</t>
        </is>
      </c>
      <c r="F402" t="inlineStr">
        <is>
          <t>Anuncios prensa</t>
        </is>
      </c>
      <c r="G402" t="inlineStr">
        <is>
          <t>Suscripción mensual</t>
        </is>
      </c>
      <c r="H402" t="inlineStr">
        <is>
          <t>Alquiler oficina para anuncios prensa</t>
        </is>
      </c>
      <c r="I402" s="5" t="n">
        <v>2162.8</v>
      </c>
      <c r="J402" s="3" t="n">
        <v>0</v>
      </c>
      <c r="K402" s="5">
        <f>ROUND(I402*(1+J402),2)</f>
        <v/>
      </c>
      <c r="L402" t="inlineStr">
        <is>
          <t>Variable</t>
        </is>
      </c>
      <c r="M402" t="inlineStr">
        <is>
          <t>Tecnología</t>
        </is>
      </c>
      <c r="N402" t="inlineStr">
        <is>
          <t>Portal internacional</t>
        </is>
      </c>
    </row>
    <row r="403">
      <c r="A403" t="inlineStr">
        <is>
          <t>GAS-0402</t>
        </is>
      </c>
      <c r="B403" s="2" t="n">
        <v>45714</v>
      </c>
      <c r="C403" t="inlineStr">
        <is>
          <t>Tecnología</t>
        </is>
      </c>
      <c r="D403" t="inlineStr">
        <is>
          <t>Herramientas SEO</t>
        </is>
      </c>
      <c r="E403" t="inlineStr">
        <is>
          <t>MediaCloud</t>
        </is>
      </c>
      <c r="F403" t="inlineStr">
        <is>
          <t>Traducciones</t>
        </is>
      </c>
      <c r="G403" t="inlineStr">
        <is>
          <t>Proyecto puntual</t>
        </is>
      </c>
      <c r="H403" t="inlineStr">
        <is>
          <t>Herramientas SEO para traducciones</t>
        </is>
      </c>
      <c r="I403" s="5" t="n">
        <v>2123.57</v>
      </c>
      <c r="J403" s="3" t="n">
        <v>0.1</v>
      </c>
      <c r="K403" s="5">
        <f>ROUND(I403*(1+J403),2)</f>
        <v/>
      </c>
      <c r="L403" t="inlineStr">
        <is>
          <t>Variable</t>
        </is>
      </c>
      <c r="M403" t="inlineStr">
        <is>
          <t>Administración</t>
        </is>
      </c>
      <c r="N403" t="inlineStr">
        <is>
          <t>Campaña empleo</t>
        </is>
      </c>
    </row>
    <row r="404">
      <c r="A404" t="inlineStr">
        <is>
          <t>GAS-0403</t>
        </is>
      </c>
      <c r="B404" s="2" t="n">
        <v>45645</v>
      </c>
      <c r="C404" t="inlineStr">
        <is>
          <t>Tecnología</t>
        </is>
      </c>
      <c r="D404" t="inlineStr">
        <is>
          <t>Software traducción</t>
        </is>
      </c>
      <c r="E404" t="inlineStr">
        <is>
          <t>Acme Hosting</t>
        </is>
      </c>
      <c r="F404" t="inlineStr">
        <is>
          <t>Mantenimiento intranets</t>
        </is>
      </c>
      <c r="G404" t="inlineStr">
        <is>
          <t>Proyecto puntual</t>
        </is>
      </c>
      <c r="H404" t="inlineStr">
        <is>
          <t>Software traducción para mantenimiento intranets</t>
        </is>
      </c>
      <c r="I404" s="5" t="n">
        <v>1348.08</v>
      </c>
      <c r="J404" s="3" t="n">
        <v>0</v>
      </c>
      <c r="K404" s="5">
        <f>ROUND(I404*(1+J404),2)</f>
        <v/>
      </c>
      <c r="L404" t="inlineStr">
        <is>
          <t>Variable</t>
        </is>
      </c>
      <c r="M404" t="inlineStr">
        <is>
          <t>Tecnología</t>
        </is>
      </c>
      <c r="N404" t="inlineStr">
        <is>
          <t>Intranet operaciones</t>
        </is>
      </c>
    </row>
    <row r="405">
      <c r="A405" t="inlineStr">
        <is>
          <t>GAS-0404</t>
        </is>
      </c>
      <c r="B405" s="2" t="n">
        <v>45424</v>
      </c>
      <c r="C405" t="inlineStr">
        <is>
          <t>Marketing</t>
        </is>
      </c>
      <c r="D405" t="inlineStr">
        <is>
          <t>Ads Google</t>
        </is>
      </c>
      <c r="E405" t="inlineStr">
        <is>
          <t>IntraSys</t>
        </is>
      </c>
      <c r="F405" t="inlineStr">
        <is>
          <t>Publicación de noticias</t>
        </is>
      </c>
      <c r="G405" t="inlineStr">
        <is>
          <t>Soporte anual</t>
        </is>
      </c>
      <c r="H405" t="inlineStr">
        <is>
          <t>Ads Google para publicación de noticias</t>
        </is>
      </c>
      <c r="I405" s="5" t="n">
        <v>4537.78</v>
      </c>
      <c r="J405" s="3" t="n">
        <v>0</v>
      </c>
      <c r="K405" s="5">
        <f>ROUND(I405*(1+J405),2)</f>
        <v/>
      </c>
      <c r="L405" t="inlineStr">
        <is>
          <t>Fijo</t>
        </is>
      </c>
      <c r="M405" t="inlineStr">
        <is>
          <t>Operaciones</t>
        </is>
      </c>
      <c r="N405" t="inlineStr">
        <is>
          <t>Microsite RRHH</t>
        </is>
      </c>
    </row>
    <row r="406">
      <c r="A406" t="inlineStr">
        <is>
          <t>GAS-0405</t>
        </is>
      </c>
      <c r="B406" s="2" t="n">
        <v>45308</v>
      </c>
      <c r="C406" t="inlineStr">
        <is>
          <t>Tecnología</t>
        </is>
      </c>
      <c r="D406" t="inlineStr">
        <is>
          <t>Software traducción</t>
        </is>
      </c>
      <c r="E406" t="inlineStr">
        <is>
          <t>NominaPlus</t>
        </is>
      </c>
      <c r="F406" t="inlineStr">
        <is>
          <t>Mantenimiento web</t>
        </is>
      </c>
      <c r="G406" t="inlineStr">
        <is>
          <t>Retainer trimestral</t>
        </is>
      </c>
      <c r="H406" t="inlineStr">
        <is>
          <t>Software traducción para mantenimiento web</t>
        </is>
      </c>
      <c r="I406" s="5" t="n">
        <v>219.86</v>
      </c>
      <c r="J406" s="3" t="n">
        <v>0.1</v>
      </c>
      <c r="K406" s="5">
        <f>ROUND(I406*(1+J406),2)</f>
        <v/>
      </c>
      <c r="L406" t="inlineStr">
        <is>
          <t>Variable</t>
        </is>
      </c>
      <c r="M406" t="inlineStr">
        <is>
          <t>Tecnología</t>
        </is>
      </c>
      <c r="N406" t="inlineStr">
        <is>
          <t>Portal internacional</t>
        </is>
      </c>
    </row>
    <row r="407">
      <c r="A407" t="inlineStr">
        <is>
          <t>GAS-0406</t>
        </is>
      </c>
      <c r="B407" s="2" t="n">
        <v>45336</v>
      </c>
      <c r="C407" t="inlineStr">
        <is>
          <t>Marketing</t>
        </is>
      </c>
      <c r="D407" t="inlineStr">
        <is>
          <t>Ads LinkedIn</t>
        </is>
      </c>
      <c r="E407" t="inlineStr">
        <is>
          <t>CloudPulse</t>
        </is>
      </c>
      <c r="F407" t="inlineStr">
        <is>
          <t>Traducciones</t>
        </is>
      </c>
      <c r="G407" t="inlineStr">
        <is>
          <t>Campaña</t>
        </is>
      </c>
      <c r="H407" t="inlineStr">
        <is>
          <t>Ads LinkedIn para traducciones</t>
        </is>
      </c>
      <c r="I407" s="5" t="n">
        <v>6521.62</v>
      </c>
      <c r="J407" s="3" t="n">
        <v>0.1</v>
      </c>
      <c r="K407" s="5">
        <f>ROUND(I407*(1+J407),2)</f>
        <v/>
      </c>
      <c r="L407" t="inlineStr">
        <is>
          <t>Fijo</t>
        </is>
      </c>
      <c r="M407" t="inlineStr">
        <is>
          <t>Operaciones</t>
        </is>
      </c>
      <c r="N407" t="inlineStr">
        <is>
          <t>Microsite RRHH</t>
        </is>
      </c>
    </row>
    <row r="408">
      <c r="A408" t="inlineStr">
        <is>
          <t>GAS-0407</t>
        </is>
      </c>
      <c r="B408" s="2" t="n">
        <v>45586</v>
      </c>
      <c r="C408" t="inlineStr">
        <is>
          <t>Operaciones</t>
        </is>
      </c>
      <c r="D408" t="inlineStr">
        <is>
          <t>QA intranet</t>
        </is>
      </c>
      <c r="E408" t="inlineStr">
        <is>
          <t>AdVision</t>
        </is>
      </c>
      <c r="F408" t="inlineStr">
        <is>
          <t>Anuncios internet</t>
        </is>
      </c>
      <c r="G408" t="inlineStr">
        <is>
          <t>Campaña</t>
        </is>
      </c>
      <c r="H408" t="inlineStr">
        <is>
          <t>QA intranet para anuncios internet</t>
        </is>
      </c>
      <c r="I408" s="5" t="n">
        <v>2083.01</v>
      </c>
      <c r="J408" s="3" t="n">
        <v>0.1</v>
      </c>
      <c r="K408" s="5">
        <f>ROUND(I408*(1+J408),2)</f>
        <v/>
      </c>
      <c r="L408" t="inlineStr">
        <is>
          <t>Variable</t>
        </is>
      </c>
      <c r="M408" t="inlineStr">
        <is>
          <t>Operaciones</t>
        </is>
      </c>
      <c r="N408" t="inlineStr">
        <is>
          <t>Microsite RRHH</t>
        </is>
      </c>
    </row>
    <row r="409">
      <c r="A409" t="inlineStr">
        <is>
          <t>GAS-0408</t>
        </is>
      </c>
      <c r="B409" s="2" t="n">
        <v>45637</v>
      </c>
      <c r="C409" t="inlineStr">
        <is>
          <t>Tecnología</t>
        </is>
      </c>
      <c r="D409" t="inlineStr">
        <is>
          <t>Hosting</t>
        </is>
      </c>
      <c r="E409" t="inlineStr">
        <is>
          <t>AdVision</t>
        </is>
      </c>
      <c r="F409" t="inlineStr">
        <is>
          <t>Anuncios prensa</t>
        </is>
      </c>
      <c r="G409" t="inlineStr">
        <is>
          <t>Soporte anual</t>
        </is>
      </c>
      <c r="H409" t="inlineStr">
        <is>
          <t>Hosting para anuncios prensa</t>
        </is>
      </c>
      <c r="I409" s="5" t="n">
        <v>602.53</v>
      </c>
      <c r="J409" s="3" t="n">
        <v>0.21</v>
      </c>
      <c r="K409" s="5">
        <f>ROUND(I409*(1+J409),2)</f>
        <v/>
      </c>
      <c r="L409" t="inlineStr">
        <is>
          <t>Fijo</t>
        </is>
      </c>
      <c r="M409" t="inlineStr">
        <is>
          <t>Administración</t>
        </is>
      </c>
      <c r="N409" t="inlineStr">
        <is>
          <t>Portal internacional</t>
        </is>
      </c>
    </row>
    <row r="410">
      <c r="A410" t="inlineStr">
        <is>
          <t>GAS-0409</t>
        </is>
      </c>
      <c r="B410" s="2" t="n">
        <v>45724</v>
      </c>
      <c r="C410" t="inlineStr">
        <is>
          <t>Operaciones</t>
        </is>
      </c>
      <c r="D410" t="inlineStr">
        <is>
          <t>Revisión editorial</t>
        </is>
      </c>
      <c r="E410" t="inlineStr">
        <is>
          <t>Acme Hosting</t>
        </is>
      </c>
      <c r="F410" t="inlineStr">
        <is>
          <t>Mantenimiento intranets</t>
        </is>
      </c>
      <c r="G410" t="inlineStr">
        <is>
          <t>Proyecto puntual</t>
        </is>
      </c>
      <c r="H410" t="inlineStr">
        <is>
          <t>Revisión editorial para mantenimiento intranets</t>
        </is>
      </c>
      <c r="I410" s="5" t="n">
        <v>303.41</v>
      </c>
      <c r="J410" s="3" t="n">
        <v>0.1</v>
      </c>
      <c r="K410" s="5">
        <f>ROUND(I410*(1+J410),2)</f>
        <v/>
      </c>
      <c r="L410" t="inlineStr">
        <is>
          <t>Variable</t>
        </is>
      </c>
      <c r="M410" t="inlineStr">
        <is>
          <t>Operaciones</t>
        </is>
      </c>
      <c r="N410" t="inlineStr">
        <is>
          <t>Portal internacional</t>
        </is>
      </c>
    </row>
    <row r="411">
      <c r="A411" t="inlineStr">
        <is>
          <t>GAS-0410</t>
        </is>
      </c>
      <c r="B411" s="2" t="n">
        <v>45687</v>
      </c>
      <c r="C411" t="inlineStr">
        <is>
          <t>Operaciones</t>
        </is>
      </c>
      <c r="D411" t="inlineStr">
        <is>
          <t>Revisión editorial</t>
        </is>
      </c>
      <c r="E411" t="inlineStr">
        <is>
          <t>AdVision</t>
        </is>
      </c>
      <c r="F411" t="inlineStr">
        <is>
          <t>Mantenimiento intranets</t>
        </is>
      </c>
      <c r="G411" t="inlineStr">
        <is>
          <t>Suscripción mensual</t>
        </is>
      </c>
      <c r="H411" t="inlineStr">
        <is>
          <t>Revisión editorial para mantenimiento intranets</t>
        </is>
      </c>
      <c r="I411" s="5" t="n">
        <v>1512.93</v>
      </c>
      <c r="J411" s="3" t="n">
        <v>0.21</v>
      </c>
      <c r="K411" s="5">
        <f>ROUND(I411*(1+J411),2)</f>
        <v/>
      </c>
      <c r="L411" t="inlineStr">
        <is>
          <t>Variable</t>
        </is>
      </c>
      <c r="M411" t="inlineStr">
        <is>
          <t>Operaciones</t>
        </is>
      </c>
      <c r="N411" t="inlineStr">
        <is>
          <t>Microsite RRHH</t>
        </is>
      </c>
    </row>
    <row r="412">
      <c r="A412" t="inlineStr">
        <is>
          <t>GAS-0411</t>
        </is>
      </c>
      <c r="B412" s="2" t="n">
        <v>45709</v>
      </c>
      <c r="C412" t="inlineStr">
        <is>
          <t>Personal</t>
        </is>
      </c>
      <c r="D412" t="inlineStr">
        <is>
          <t>Formación</t>
        </is>
      </c>
      <c r="E412" t="inlineStr">
        <is>
          <t>LinguaTech</t>
        </is>
      </c>
      <c r="F412" t="inlineStr">
        <is>
          <t>Mantenimiento intranets</t>
        </is>
      </c>
      <c r="G412" t="inlineStr">
        <is>
          <t>Suscripción mensual</t>
        </is>
      </c>
      <c r="H412" t="inlineStr">
        <is>
          <t>Formación para mantenimiento intranets</t>
        </is>
      </c>
      <c r="I412" s="5" t="n">
        <v>3977.04</v>
      </c>
      <c r="J412" s="3" t="n">
        <v>0.21</v>
      </c>
      <c r="K412" s="5">
        <f>ROUND(I412*(1+J412),2)</f>
        <v/>
      </c>
      <c r="L412" t="inlineStr">
        <is>
          <t>Fijo</t>
        </is>
      </c>
      <c r="M412" t="inlineStr">
        <is>
          <t>Comercial</t>
        </is>
      </c>
      <c r="N412" t="inlineStr">
        <is>
          <t>Campaña empleo</t>
        </is>
      </c>
    </row>
    <row r="413">
      <c r="A413" t="inlineStr">
        <is>
          <t>GAS-0412</t>
        </is>
      </c>
      <c r="B413" s="2" t="n">
        <v>45476</v>
      </c>
      <c r="C413" t="inlineStr">
        <is>
          <t>Personal</t>
        </is>
      </c>
      <c r="D413" t="inlineStr">
        <is>
          <t>Seguridad Social</t>
        </is>
      </c>
      <c r="E413" t="inlineStr">
        <is>
          <t>Legal Iberia</t>
        </is>
      </c>
      <c r="F413" t="inlineStr">
        <is>
          <t>Anuncios RRHH</t>
        </is>
      </c>
      <c r="G413" t="inlineStr">
        <is>
          <t>Retainer trimestral</t>
        </is>
      </c>
      <c r="H413" t="inlineStr">
        <is>
          <t>Seguridad Social para anuncios rrhh</t>
        </is>
      </c>
      <c r="I413" s="5" t="n">
        <v>6672.68</v>
      </c>
      <c r="J413" s="3" t="n">
        <v>0.1</v>
      </c>
      <c r="K413" s="5">
        <f>ROUND(I413*(1+J413),2)</f>
        <v/>
      </c>
      <c r="L413" t="inlineStr">
        <is>
          <t>Fijo</t>
        </is>
      </c>
      <c r="M413" t="inlineStr">
        <is>
          <t>Marketing</t>
        </is>
      </c>
      <c r="N413" t="inlineStr">
        <is>
          <t>Portal corporativo</t>
        </is>
      </c>
    </row>
    <row r="414">
      <c r="A414" t="inlineStr">
        <is>
          <t>GAS-0413</t>
        </is>
      </c>
      <c r="B414" s="2" t="n">
        <v>45726</v>
      </c>
      <c r="C414" t="inlineStr">
        <is>
          <t>Personal</t>
        </is>
      </c>
      <c r="D414" t="inlineStr">
        <is>
          <t>Seguridad Social</t>
        </is>
      </c>
      <c r="E414" t="inlineStr">
        <is>
          <t>SEO Metrics</t>
        </is>
      </c>
      <c r="F414" t="inlineStr">
        <is>
          <t>Anuncios prensa</t>
        </is>
      </c>
      <c r="G414" t="inlineStr">
        <is>
          <t>Retainer trimestral</t>
        </is>
      </c>
      <c r="H414" t="inlineStr">
        <is>
          <t>Seguridad Social para anuncios prensa</t>
        </is>
      </c>
      <c r="I414" s="5" t="n">
        <v>8219.450000000001</v>
      </c>
      <c r="J414" s="3" t="n">
        <v>0.21</v>
      </c>
      <c r="K414" s="5">
        <f>ROUND(I414*(1+J414),2)</f>
        <v/>
      </c>
      <c r="L414" t="inlineStr">
        <is>
          <t>Fijo</t>
        </is>
      </c>
      <c r="M414" t="inlineStr">
        <is>
          <t>Marketing</t>
        </is>
      </c>
      <c r="N414" t="inlineStr">
        <is>
          <t>Intranet operaciones</t>
        </is>
      </c>
    </row>
    <row r="415">
      <c r="A415" t="inlineStr">
        <is>
          <t>GAS-0414</t>
        </is>
      </c>
      <c r="B415" s="2" t="n">
        <v>45363</v>
      </c>
      <c r="C415" t="inlineStr">
        <is>
          <t>Personal</t>
        </is>
      </c>
      <c r="D415" t="inlineStr">
        <is>
          <t>Seguridad Social</t>
        </is>
      </c>
      <c r="E415" t="inlineStr">
        <is>
          <t>Redacción Global</t>
        </is>
      </c>
      <c r="F415" t="inlineStr">
        <is>
          <t>Anuncios RRHH</t>
        </is>
      </c>
      <c r="G415" t="inlineStr">
        <is>
          <t>Campaña</t>
        </is>
      </c>
      <c r="H415" t="inlineStr">
        <is>
          <t>Seguridad Social para anuncios rrhh</t>
        </is>
      </c>
      <c r="I415" s="5" t="n">
        <v>1531.2</v>
      </c>
      <c r="J415" s="3" t="n">
        <v>0</v>
      </c>
      <c r="K415" s="5">
        <f>ROUND(I415*(1+J415),2)</f>
        <v/>
      </c>
      <c r="L415" t="inlineStr">
        <is>
          <t>Fijo</t>
        </is>
      </c>
      <c r="M415" t="inlineStr">
        <is>
          <t>Administración</t>
        </is>
      </c>
      <c r="N415" t="inlineStr">
        <is>
          <t>Campaña empleo</t>
        </is>
      </c>
    </row>
    <row r="416">
      <c r="A416" t="inlineStr">
        <is>
          <t>GAS-0415</t>
        </is>
      </c>
      <c r="B416" s="2" t="n">
        <v>45369</v>
      </c>
      <c r="C416" t="inlineStr">
        <is>
          <t>Operaciones</t>
        </is>
      </c>
      <c r="D416" t="inlineStr">
        <is>
          <t>Subtitulación</t>
        </is>
      </c>
      <c r="E416" t="inlineStr">
        <is>
          <t>Redacción Global</t>
        </is>
      </c>
      <c r="F416" t="inlineStr">
        <is>
          <t>Anuncios RRHH</t>
        </is>
      </c>
      <c r="G416" t="inlineStr">
        <is>
          <t>Proyecto puntual</t>
        </is>
      </c>
      <c r="H416" t="inlineStr">
        <is>
          <t>Subtitulación para anuncios rrhh</t>
        </is>
      </c>
      <c r="I416" s="5" t="n">
        <v>1171.63</v>
      </c>
      <c r="J416" s="3" t="n">
        <v>0.21</v>
      </c>
      <c r="K416" s="5">
        <f>ROUND(I416*(1+J416),2)</f>
        <v/>
      </c>
      <c r="L416" t="inlineStr">
        <is>
          <t>Fijo</t>
        </is>
      </c>
      <c r="M416" t="inlineStr">
        <is>
          <t>Comercial</t>
        </is>
      </c>
      <c r="N416" t="inlineStr">
        <is>
          <t>Portal corporativo</t>
        </is>
      </c>
    </row>
    <row r="417">
      <c r="A417" t="inlineStr">
        <is>
          <t>GAS-0416</t>
        </is>
      </c>
      <c r="B417" s="2" t="n">
        <v>45461</v>
      </c>
      <c r="C417" t="inlineStr">
        <is>
          <t>Tecnología</t>
        </is>
      </c>
      <c r="D417" t="inlineStr">
        <is>
          <t>Herramientas SEO</t>
        </is>
      </c>
      <c r="E417" t="inlineStr">
        <is>
          <t>Acme Hosting</t>
        </is>
      </c>
      <c r="F417" t="inlineStr">
        <is>
          <t>Anuncios prensa</t>
        </is>
      </c>
      <c r="G417" t="inlineStr">
        <is>
          <t>Campaña</t>
        </is>
      </c>
      <c r="H417" t="inlineStr">
        <is>
          <t>Herramientas SEO para anuncios prensa</t>
        </is>
      </c>
      <c r="I417" s="5" t="n">
        <v>2188.84</v>
      </c>
      <c r="J417" s="3" t="n">
        <v>0</v>
      </c>
      <c r="K417" s="5">
        <f>ROUND(I417*(1+J417),2)</f>
        <v/>
      </c>
      <c r="L417" t="inlineStr">
        <is>
          <t>Fijo</t>
        </is>
      </c>
      <c r="M417" t="inlineStr">
        <is>
          <t>Marketing</t>
        </is>
      </c>
      <c r="N417" t="inlineStr">
        <is>
          <t>Portal corporativo</t>
        </is>
      </c>
    </row>
    <row r="418">
      <c r="A418" t="inlineStr">
        <is>
          <t>GAS-0417</t>
        </is>
      </c>
      <c r="B418" s="2" t="n">
        <v>45325</v>
      </c>
      <c r="C418" t="inlineStr">
        <is>
          <t>Tecnología</t>
        </is>
      </c>
      <c r="D418" t="inlineStr">
        <is>
          <t>Monitorización</t>
        </is>
      </c>
      <c r="E418" t="inlineStr">
        <is>
          <t>LinguaTech</t>
        </is>
      </c>
      <c r="F418" t="inlineStr">
        <is>
          <t>Anuncios TV</t>
        </is>
      </c>
      <c r="G418" t="inlineStr">
        <is>
          <t>Campaña</t>
        </is>
      </c>
      <c r="H418" t="inlineStr">
        <is>
          <t>Monitorización para anuncios tv</t>
        </is>
      </c>
      <c r="I418" s="5" t="n">
        <v>312.27</v>
      </c>
      <c r="J418" s="3" t="n">
        <v>0.21</v>
      </c>
      <c r="K418" s="5">
        <f>ROUND(I418*(1+J418),2)</f>
        <v/>
      </c>
      <c r="L418" t="inlineStr">
        <is>
          <t>Variable</t>
        </is>
      </c>
      <c r="M418" t="inlineStr">
        <is>
          <t>Administración</t>
        </is>
      </c>
      <c r="N418" t="inlineStr">
        <is>
          <t>Intranet operaciones</t>
        </is>
      </c>
    </row>
    <row r="419">
      <c r="A419" t="inlineStr">
        <is>
          <t>GAS-0418</t>
        </is>
      </c>
      <c r="B419" s="2" t="n">
        <v>45479</v>
      </c>
      <c r="C419" t="inlineStr">
        <is>
          <t>Personal</t>
        </is>
      </c>
      <c r="D419" t="inlineStr">
        <is>
          <t>Formación</t>
        </is>
      </c>
      <c r="E419" t="inlineStr">
        <is>
          <t>CloudPulse</t>
        </is>
      </c>
      <c r="F419" t="inlineStr">
        <is>
          <t>Mantenimiento web</t>
        </is>
      </c>
      <c r="G419" t="inlineStr">
        <is>
          <t>Suscripción mensual</t>
        </is>
      </c>
      <c r="H419" t="inlineStr">
        <is>
          <t>Formación para mantenimiento web</t>
        </is>
      </c>
      <c r="I419" s="5" t="n">
        <v>3473.45</v>
      </c>
      <c r="J419" s="3" t="n">
        <v>0.21</v>
      </c>
      <c r="K419" s="5">
        <f>ROUND(I419*(1+J419),2)</f>
        <v/>
      </c>
      <c r="L419" t="inlineStr">
        <is>
          <t>Variable</t>
        </is>
      </c>
      <c r="M419" t="inlineStr">
        <is>
          <t>Administración</t>
        </is>
      </c>
      <c r="N419" t="inlineStr">
        <is>
          <t>Campaña empleo</t>
        </is>
      </c>
    </row>
    <row r="420">
      <c r="A420" t="inlineStr">
        <is>
          <t>GAS-0419</t>
        </is>
      </c>
      <c r="B420" s="2" t="n">
        <v>45436</v>
      </c>
      <c r="C420" t="inlineStr">
        <is>
          <t>Personal</t>
        </is>
      </c>
      <c r="D420" t="inlineStr">
        <is>
          <t>Formación</t>
        </is>
      </c>
      <c r="E420" t="inlineStr">
        <is>
          <t>CloudPulse</t>
        </is>
      </c>
      <c r="F420" t="inlineStr">
        <is>
          <t>Publicación de noticias</t>
        </is>
      </c>
      <c r="G420" t="inlineStr">
        <is>
          <t>Suscripción mensual</t>
        </is>
      </c>
      <c r="H420" t="inlineStr">
        <is>
          <t>Formación para publicación de noticias</t>
        </is>
      </c>
      <c r="I420" s="5" t="n">
        <v>7079.77</v>
      </c>
      <c r="J420" s="3" t="n">
        <v>0.21</v>
      </c>
      <c r="K420" s="5">
        <f>ROUND(I420*(1+J420),2)</f>
        <v/>
      </c>
      <c r="L420" t="inlineStr">
        <is>
          <t>Fijo</t>
        </is>
      </c>
      <c r="M420" t="inlineStr">
        <is>
          <t>Tecnología</t>
        </is>
      </c>
      <c r="N420" t="inlineStr">
        <is>
          <t>Sección noticias</t>
        </is>
      </c>
    </row>
    <row r="421">
      <c r="A421" t="inlineStr">
        <is>
          <t>GAS-0420</t>
        </is>
      </c>
      <c r="B421" s="2" t="n">
        <v>45428</v>
      </c>
      <c r="C421" t="inlineStr">
        <is>
          <t>Marketing</t>
        </is>
      </c>
      <c r="D421" t="inlineStr">
        <is>
          <t>Ads prensa local</t>
        </is>
      </c>
      <c r="E421" t="inlineStr">
        <is>
          <t>MediaCloud</t>
        </is>
      </c>
      <c r="F421" t="inlineStr">
        <is>
          <t>Anuncios RRHH</t>
        </is>
      </c>
      <c r="G421" t="inlineStr">
        <is>
          <t>Retainer trimestral</t>
        </is>
      </c>
      <c r="H421" t="inlineStr">
        <is>
          <t>Ads prensa local para anuncios rrhh</t>
        </is>
      </c>
      <c r="I421" s="5" t="n">
        <v>7212.18</v>
      </c>
      <c r="J421" s="3" t="n">
        <v>0.21</v>
      </c>
      <c r="K421" s="5">
        <f>ROUND(I421*(1+J421),2)</f>
        <v/>
      </c>
      <c r="L421" t="inlineStr">
        <is>
          <t>Variable</t>
        </is>
      </c>
      <c r="M421" t="inlineStr">
        <is>
          <t>Comercial</t>
        </is>
      </c>
      <c r="N421" t="inlineStr">
        <is>
          <t>Portal corporativo</t>
        </is>
      </c>
    </row>
    <row r="422">
      <c r="A422" t="inlineStr">
        <is>
          <t>GAS-0421</t>
        </is>
      </c>
      <c r="B422" s="2" t="n">
        <v>45413</v>
      </c>
      <c r="C422" t="inlineStr">
        <is>
          <t>Marketing</t>
        </is>
      </c>
      <c r="D422" t="inlineStr">
        <is>
          <t>Producción TV</t>
        </is>
      </c>
      <c r="E422" t="inlineStr">
        <is>
          <t>MediaCloud</t>
        </is>
      </c>
      <c r="F422" t="inlineStr">
        <is>
          <t>Mantenimiento web</t>
        </is>
      </c>
      <c r="G422" t="inlineStr">
        <is>
          <t>Campaña</t>
        </is>
      </c>
      <c r="H422" t="inlineStr">
        <is>
          <t>Producción TV para mantenimiento web</t>
        </is>
      </c>
      <c r="I422" s="5" t="n">
        <v>467.56</v>
      </c>
      <c r="J422" s="3" t="n">
        <v>0.21</v>
      </c>
      <c r="K422" s="5">
        <f>ROUND(I422*(1+J422),2)</f>
        <v/>
      </c>
      <c r="L422" t="inlineStr">
        <is>
          <t>Fijo</t>
        </is>
      </c>
      <c r="M422" t="inlineStr">
        <is>
          <t>Administración</t>
        </is>
      </c>
      <c r="N422" t="inlineStr">
        <is>
          <t>Intranet operaciones</t>
        </is>
      </c>
    </row>
    <row r="423">
      <c r="A423" t="inlineStr">
        <is>
          <t>GAS-0422</t>
        </is>
      </c>
      <c r="B423" s="2" t="n">
        <v>45610</v>
      </c>
      <c r="C423" t="inlineStr">
        <is>
          <t>Tecnología</t>
        </is>
      </c>
      <c r="D423" t="inlineStr">
        <is>
          <t>Herramientas SEO</t>
        </is>
      </c>
      <c r="E423" t="inlineStr">
        <is>
          <t>IntraSys</t>
        </is>
      </c>
      <c r="F423" t="inlineStr">
        <is>
          <t>Mantenimiento intranets</t>
        </is>
      </c>
      <c r="G423" t="inlineStr">
        <is>
          <t>Soporte anual</t>
        </is>
      </c>
      <c r="H423" t="inlineStr">
        <is>
          <t>Herramientas SEO para mantenimiento intranets</t>
        </is>
      </c>
      <c r="I423" s="5" t="n">
        <v>1975.42</v>
      </c>
      <c r="J423" s="3" t="n">
        <v>0.21</v>
      </c>
      <c r="K423" s="5">
        <f>ROUND(I423*(1+J423),2)</f>
        <v/>
      </c>
      <c r="L423" t="inlineStr">
        <is>
          <t>Fijo</t>
        </is>
      </c>
      <c r="M423" t="inlineStr">
        <is>
          <t>Tecnología</t>
        </is>
      </c>
      <c r="N423" t="inlineStr">
        <is>
          <t>Portal internacional</t>
        </is>
      </c>
    </row>
    <row r="424">
      <c r="A424" t="inlineStr">
        <is>
          <t>GAS-0423</t>
        </is>
      </c>
      <c r="B424" s="2" t="n">
        <v>45730</v>
      </c>
      <c r="C424" t="inlineStr">
        <is>
          <t>Personal</t>
        </is>
      </c>
      <c r="D424" t="inlineStr">
        <is>
          <t>Salarios</t>
        </is>
      </c>
      <c r="E424" t="inlineStr">
        <is>
          <t>AdVision</t>
        </is>
      </c>
      <c r="F424" t="inlineStr">
        <is>
          <t>Generación de noticias</t>
        </is>
      </c>
      <c r="G424" t="inlineStr">
        <is>
          <t>Soporte anual</t>
        </is>
      </c>
      <c r="H424" t="inlineStr">
        <is>
          <t>Salarios para generación de noticias</t>
        </is>
      </c>
      <c r="I424" s="5" t="n">
        <v>3689.18</v>
      </c>
      <c r="J424" s="3" t="n">
        <v>0.21</v>
      </c>
      <c r="K424" s="5">
        <f>ROUND(I424*(1+J424),2)</f>
        <v/>
      </c>
      <c r="L424" t="inlineStr">
        <is>
          <t>Fijo</t>
        </is>
      </c>
      <c r="M424" t="inlineStr">
        <is>
          <t>Tecnología</t>
        </is>
      </c>
      <c r="N424" t="inlineStr">
        <is>
          <t>Microsite RRHH</t>
        </is>
      </c>
    </row>
    <row r="425">
      <c r="A425" t="inlineStr">
        <is>
          <t>GAS-0424</t>
        </is>
      </c>
      <c r="B425" s="2" t="n">
        <v>45356</v>
      </c>
      <c r="C425" t="inlineStr">
        <is>
          <t>Marketing</t>
        </is>
      </c>
      <c r="D425" t="inlineStr">
        <is>
          <t>Diseño creativo</t>
        </is>
      </c>
      <c r="E425" t="inlineStr">
        <is>
          <t>AdVision</t>
        </is>
      </c>
      <c r="F425" t="inlineStr">
        <is>
          <t>Publicación de noticias</t>
        </is>
      </c>
      <c r="G425" t="inlineStr">
        <is>
          <t>Retainer trimestral</t>
        </is>
      </c>
      <c r="H425" t="inlineStr">
        <is>
          <t>Diseño creativo para publicación de noticias</t>
        </is>
      </c>
      <c r="I425" s="5" t="n">
        <v>10011.91</v>
      </c>
      <c r="J425" s="3" t="n">
        <v>0.21</v>
      </c>
      <c r="K425" s="5">
        <f>ROUND(I425*(1+J425),2)</f>
        <v/>
      </c>
      <c r="L425" t="inlineStr">
        <is>
          <t>Variable</t>
        </is>
      </c>
      <c r="M425" t="inlineStr">
        <is>
          <t>Administración</t>
        </is>
      </c>
      <c r="N425" t="inlineStr">
        <is>
          <t>Intranet comercial</t>
        </is>
      </c>
    </row>
    <row r="426">
      <c r="A426" t="inlineStr">
        <is>
          <t>GAS-0425</t>
        </is>
      </c>
      <c r="B426" s="2" t="n">
        <v>45405</v>
      </c>
      <c r="C426" t="inlineStr">
        <is>
          <t>Administración</t>
        </is>
      </c>
      <c r="D426" t="inlineStr">
        <is>
          <t>Seguros</t>
        </is>
      </c>
      <c r="E426" t="inlineStr">
        <is>
          <t>Acme Hosting</t>
        </is>
      </c>
      <c r="F426" t="inlineStr">
        <is>
          <t>Publicación de noticias</t>
        </is>
      </c>
      <c r="G426" t="inlineStr">
        <is>
          <t>Proyecto puntual</t>
        </is>
      </c>
      <c r="H426" t="inlineStr">
        <is>
          <t>Seguros para publicación de noticias</t>
        </is>
      </c>
      <c r="I426" s="5" t="n">
        <v>2956.04</v>
      </c>
      <c r="J426" s="3" t="n">
        <v>0.21</v>
      </c>
      <c r="K426" s="5">
        <f>ROUND(I426*(1+J426),2)</f>
        <v/>
      </c>
      <c r="L426" t="inlineStr">
        <is>
          <t>Fijo</t>
        </is>
      </c>
      <c r="M426" t="inlineStr">
        <is>
          <t>Administración</t>
        </is>
      </c>
      <c r="N426" t="inlineStr">
        <is>
          <t>Portal corporativo</t>
        </is>
      </c>
    </row>
    <row r="427">
      <c r="A427" t="inlineStr">
        <is>
          <t>GAS-0426</t>
        </is>
      </c>
      <c r="B427" s="2" t="n">
        <v>45376</v>
      </c>
      <c r="C427" t="inlineStr">
        <is>
          <t>Operaciones</t>
        </is>
      </c>
      <c r="D427" t="inlineStr">
        <is>
          <t>Subtitulación</t>
        </is>
      </c>
      <c r="E427" t="inlineStr">
        <is>
          <t>SEO Metrics</t>
        </is>
      </c>
      <c r="F427" t="inlineStr">
        <is>
          <t>Anuncios TV</t>
        </is>
      </c>
      <c r="G427" t="inlineStr">
        <is>
          <t>Soporte anual</t>
        </is>
      </c>
      <c r="H427" t="inlineStr">
        <is>
          <t>Subtitulación para anuncios tv</t>
        </is>
      </c>
      <c r="I427" s="5" t="n">
        <v>2340.66</v>
      </c>
      <c r="J427" s="3" t="n">
        <v>0.21</v>
      </c>
      <c r="K427" s="5">
        <f>ROUND(I427*(1+J427),2)</f>
        <v/>
      </c>
      <c r="L427" t="inlineStr">
        <is>
          <t>Fijo</t>
        </is>
      </c>
      <c r="M427" t="inlineStr">
        <is>
          <t>Administración</t>
        </is>
      </c>
      <c r="N427" t="inlineStr">
        <is>
          <t>Microsite RRHH</t>
        </is>
      </c>
    </row>
    <row r="428">
      <c r="A428" t="inlineStr">
        <is>
          <t>GAS-0427</t>
        </is>
      </c>
      <c r="B428" s="2" t="n">
        <v>45535</v>
      </c>
      <c r="C428" t="inlineStr">
        <is>
          <t>Operaciones</t>
        </is>
      </c>
      <c r="D428" t="inlineStr">
        <is>
          <t>Subtitulación</t>
        </is>
      </c>
      <c r="E428" t="inlineStr">
        <is>
          <t>Legal Iberia</t>
        </is>
      </c>
      <c r="F428" t="inlineStr">
        <is>
          <t>Mantenimiento web</t>
        </is>
      </c>
      <c r="G428" t="inlineStr">
        <is>
          <t>Retainer trimestral</t>
        </is>
      </c>
      <c r="H428" t="inlineStr">
        <is>
          <t>Subtitulación para mantenimiento web</t>
        </is>
      </c>
      <c r="I428" s="5" t="n">
        <v>5420.6</v>
      </c>
      <c r="J428" s="3" t="n">
        <v>0.21</v>
      </c>
      <c r="K428" s="5">
        <f>ROUND(I428*(1+J428),2)</f>
        <v/>
      </c>
      <c r="L428" t="inlineStr">
        <is>
          <t>Variable</t>
        </is>
      </c>
      <c r="M428" t="inlineStr">
        <is>
          <t>Operaciones</t>
        </is>
      </c>
      <c r="N428" t="inlineStr">
        <is>
          <t>Intranet comercial</t>
        </is>
      </c>
    </row>
    <row r="429">
      <c r="A429" t="inlineStr">
        <is>
          <t>GAS-0428</t>
        </is>
      </c>
      <c r="B429" s="2" t="n">
        <v>45363</v>
      </c>
      <c r="C429" t="inlineStr">
        <is>
          <t>Personal</t>
        </is>
      </c>
      <c r="D429" t="inlineStr">
        <is>
          <t>Formación</t>
        </is>
      </c>
      <c r="E429" t="inlineStr">
        <is>
          <t>MediaCloud</t>
        </is>
      </c>
      <c r="F429" t="inlineStr">
        <is>
          <t>Generación de noticias</t>
        </is>
      </c>
      <c r="G429" t="inlineStr">
        <is>
          <t>Campaña</t>
        </is>
      </c>
      <c r="H429" t="inlineStr">
        <is>
          <t>Formación para generación de noticias</t>
        </is>
      </c>
      <c r="I429" s="5" t="n">
        <v>2723.91</v>
      </c>
      <c r="J429" s="3" t="n">
        <v>0.21</v>
      </c>
      <c r="K429" s="5">
        <f>ROUND(I429*(1+J429),2)</f>
        <v/>
      </c>
      <c r="L429" t="inlineStr">
        <is>
          <t>Fijo</t>
        </is>
      </c>
      <c r="M429" t="inlineStr">
        <is>
          <t>Marketing</t>
        </is>
      </c>
      <c r="N429" t="inlineStr">
        <is>
          <t>Sección noticias</t>
        </is>
      </c>
    </row>
    <row r="430">
      <c r="A430" t="inlineStr">
        <is>
          <t>GAS-0429</t>
        </is>
      </c>
      <c r="B430" s="2" t="n">
        <v>45497</v>
      </c>
      <c r="C430" t="inlineStr">
        <is>
          <t>Marketing</t>
        </is>
      </c>
      <c r="D430" t="inlineStr">
        <is>
          <t>Producción TV</t>
        </is>
      </c>
      <c r="E430" t="inlineStr">
        <is>
          <t>LinguaTech</t>
        </is>
      </c>
      <c r="F430" t="inlineStr">
        <is>
          <t>Mantenimiento intranets</t>
        </is>
      </c>
      <c r="G430" t="inlineStr">
        <is>
          <t>Soporte anual</t>
        </is>
      </c>
      <c r="H430" t="inlineStr">
        <is>
          <t>Producción TV para mantenimiento intranets</t>
        </is>
      </c>
      <c r="I430" s="5" t="n">
        <v>2947.77</v>
      </c>
      <c r="J430" s="3" t="n">
        <v>0.21</v>
      </c>
      <c r="K430" s="5">
        <f>ROUND(I430*(1+J430),2)</f>
        <v/>
      </c>
      <c r="L430" t="inlineStr">
        <is>
          <t>Fijo</t>
        </is>
      </c>
      <c r="M430" t="inlineStr">
        <is>
          <t>Marketing</t>
        </is>
      </c>
      <c r="N430" t="inlineStr">
        <is>
          <t>Sección noticias</t>
        </is>
      </c>
    </row>
    <row r="431">
      <c r="A431" t="inlineStr">
        <is>
          <t>GAS-0430</t>
        </is>
      </c>
      <c r="B431" s="2" t="n">
        <v>45410</v>
      </c>
      <c r="C431" t="inlineStr">
        <is>
          <t>Marketing</t>
        </is>
      </c>
      <c r="D431" t="inlineStr">
        <is>
          <t>Ads prensa local</t>
        </is>
      </c>
      <c r="E431" t="inlineStr">
        <is>
          <t>SEO Metrics</t>
        </is>
      </c>
      <c r="F431" t="inlineStr">
        <is>
          <t>Mantenimiento web</t>
        </is>
      </c>
      <c r="G431" t="inlineStr">
        <is>
          <t>Campaña</t>
        </is>
      </c>
      <c r="H431" t="inlineStr">
        <is>
          <t>Ads prensa local para mantenimiento web</t>
        </is>
      </c>
      <c r="I431" s="5" t="n">
        <v>6433.62</v>
      </c>
      <c r="J431" s="3" t="n">
        <v>0.21</v>
      </c>
      <c r="K431" s="5">
        <f>ROUND(I431*(1+J431),2)</f>
        <v/>
      </c>
      <c r="L431" t="inlineStr">
        <is>
          <t>Fijo</t>
        </is>
      </c>
      <c r="M431" t="inlineStr">
        <is>
          <t>Administración</t>
        </is>
      </c>
      <c r="N431" t="inlineStr">
        <is>
          <t>Intranet operaciones</t>
        </is>
      </c>
    </row>
    <row r="432">
      <c r="A432" t="inlineStr">
        <is>
          <t>GAS-0431</t>
        </is>
      </c>
      <c r="B432" s="2" t="n">
        <v>45612</v>
      </c>
      <c r="C432" t="inlineStr">
        <is>
          <t>Personal</t>
        </is>
      </c>
      <c r="D432" t="inlineStr">
        <is>
          <t>Formación</t>
        </is>
      </c>
      <c r="E432" t="inlineStr">
        <is>
          <t>Legal Iberia</t>
        </is>
      </c>
      <c r="F432" t="inlineStr">
        <is>
          <t>Anuncios RRHH</t>
        </is>
      </c>
      <c r="G432" t="inlineStr">
        <is>
          <t>Campaña</t>
        </is>
      </c>
      <c r="H432" t="inlineStr">
        <is>
          <t>Formación para anuncios rrhh</t>
        </is>
      </c>
      <c r="I432" s="5" t="n">
        <v>7589.22</v>
      </c>
      <c r="J432" s="3" t="n">
        <v>0.1</v>
      </c>
      <c r="K432" s="5">
        <f>ROUND(I432*(1+J432),2)</f>
        <v/>
      </c>
      <c r="L432" t="inlineStr">
        <is>
          <t>Fijo</t>
        </is>
      </c>
      <c r="M432" t="inlineStr">
        <is>
          <t>Marketing</t>
        </is>
      </c>
      <c r="N432" t="inlineStr">
        <is>
          <t>Centro de prensa</t>
        </is>
      </c>
    </row>
    <row r="433">
      <c r="A433" t="inlineStr">
        <is>
          <t>GAS-0432</t>
        </is>
      </c>
      <c r="B433" s="2" t="n">
        <v>45632</v>
      </c>
      <c r="C433" t="inlineStr">
        <is>
          <t>Personal</t>
        </is>
      </c>
      <c r="D433" t="inlineStr">
        <is>
          <t>Salarios</t>
        </is>
      </c>
      <c r="E433" t="inlineStr">
        <is>
          <t>Legal Iberia</t>
        </is>
      </c>
      <c r="F433" t="inlineStr">
        <is>
          <t>Traducciones</t>
        </is>
      </c>
      <c r="G433" t="inlineStr">
        <is>
          <t>Campaña</t>
        </is>
      </c>
      <c r="H433" t="inlineStr">
        <is>
          <t>Salarios para traducciones</t>
        </is>
      </c>
      <c r="I433" s="5" t="n">
        <v>8482.52</v>
      </c>
      <c r="J433" s="3" t="n">
        <v>0.21</v>
      </c>
      <c r="K433" s="5">
        <f>ROUND(I433*(1+J433),2)</f>
        <v/>
      </c>
      <c r="L433" t="inlineStr">
        <is>
          <t>Fijo</t>
        </is>
      </c>
      <c r="M433" t="inlineStr">
        <is>
          <t>Operaciones</t>
        </is>
      </c>
      <c r="N433" t="inlineStr">
        <is>
          <t>Centro de prensa</t>
        </is>
      </c>
    </row>
    <row r="434">
      <c r="A434" t="inlineStr">
        <is>
          <t>GAS-0433</t>
        </is>
      </c>
      <c r="B434" s="2" t="n">
        <v>45298</v>
      </c>
      <c r="C434" t="inlineStr">
        <is>
          <t>Operaciones</t>
        </is>
      </c>
      <c r="D434" t="inlineStr">
        <is>
          <t>Subtitulación</t>
        </is>
      </c>
      <c r="E434" t="inlineStr">
        <is>
          <t>LinguaTech</t>
        </is>
      </c>
      <c r="F434" t="inlineStr">
        <is>
          <t>Generación de noticias</t>
        </is>
      </c>
      <c r="G434" t="inlineStr">
        <is>
          <t>Campaña</t>
        </is>
      </c>
      <c r="H434" t="inlineStr">
        <is>
          <t>Subtitulación para generación de noticias</t>
        </is>
      </c>
      <c r="I434" s="5" t="n">
        <v>1619.81</v>
      </c>
      <c r="J434" s="3" t="n">
        <v>0.21</v>
      </c>
      <c r="K434" s="5">
        <f>ROUND(I434*(1+J434),2)</f>
        <v/>
      </c>
      <c r="L434" t="inlineStr">
        <is>
          <t>Variable</t>
        </is>
      </c>
      <c r="M434" t="inlineStr">
        <is>
          <t>Comercial</t>
        </is>
      </c>
      <c r="N434" t="inlineStr">
        <is>
          <t>Microsite RRHH</t>
        </is>
      </c>
    </row>
    <row r="435">
      <c r="A435" t="inlineStr">
        <is>
          <t>GAS-0434</t>
        </is>
      </c>
      <c r="B435" s="2" t="n">
        <v>45487</v>
      </c>
      <c r="C435" t="inlineStr">
        <is>
          <t>Marketing</t>
        </is>
      </c>
      <c r="D435" t="inlineStr">
        <is>
          <t>Ads LinkedIn</t>
        </is>
      </c>
      <c r="E435" t="inlineStr">
        <is>
          <t>Acme Hosting</t>
        </is>
      </c>
      <c r="F435" t="inlineStr">
        <is>
          <t>Anuncios internet</t>
        </is>
      </c>
      <c r="G435" t="inlineStr">
        <is>
          <t>Soporte anual</t>
        </is>
      </c>
      <c r="H435" t="inlineStr">
        <is>
          <t>Ads LinkedIn para anuncios internet</t>
        </is>
      </c>
      <c r="I435" s="5" t="n">
        <v>4697.12</v>
      </c>
      <c r="J435" s="3" t="n">
        <v>0</v>
      </c>
      <c r="K435" s="5">
        <f>ROUND(I435*(1+J435),2)</f>
        <v/>
      </c>
      <c r="L435" t="inlineStr">
        <is>
          <t>Fijo</t>
        </is>
      </c>
      <c r="M435" t="inlineStr">
        <is>
          <t>Administración</t>
        </is>
      </c>
      <c r="N435" t="inlineStr">
        <is>
          <t>Intranet comercial</t>
        </is>
      </c>
    </row>
    <row r="436">
      <c r="A436" t="inlineStr">
        <is>
          <t>GAS-0435</t>
        </is>
      </c>
      <c r="B436" s="2" t="n">
        <v>45312</v>
      </c>
      <c r="C436" t="inlineStr">
        <is>
          <t>Personal</t>
        </is>
      </c>
      <c r="D436" t="inlineStr">
        <is>
          <t>Salarios</t>
        </is>
      </c>
      <c r="E436" t="inlineStr">
        <is>
          <t>AdVision</t>
        </is>
      </c>
      <c r="F436" t="inlineStr">
        <is>
          <t>Anuncios RRHH</t>
        </is>
      </c>
      <c r="G436" t="inlineStr">
        <is>
          <t>Campaña</t>
        </is>
      </c>
      <c r="H436" t="inlineStr">
        <is>
          <t>Salarios para anuncios rrhh</t>
        </is>
      </c>
      <c r="I436" s="5" t="n">
        <v>5434.89</v>
      </c>
      <c r="J436" s="3" t="n">
        <v>0.21</v>
      </c>
      <c r="K436" s="5">
        <f>ROUND(I436*(1+J436),2)</f>
        <v/>
      </c>
      <c r="L436" t="inlineStr">
        <is>
          <t>Fijo</t>
        </is>
      </c>
      <c r="M436" t="inlineStr">
        <is>
          <t>Marketing</t>
        </is>
      </c>
      <c r="N436" t="inlineStr">
        <is>
          <t>Microsite RRHH</t>
        </is>
      </c>
    </row>
    <row r="437">
      <c r="A437" t="inlineStr">
        <is>
          <t>GAS-0436</t>
        </is>
      </c>
      <c r="B437" s="2" t="n">
        <v>45702</v>
      </c>
      <c r="C437" t="inlineStr">
        <is>
          <t>Marketing</t>
        </is>
      </c>
      <c r="D437" t="inlineStr">
        <is>
          <t>Ads LinkedIn</t>
        </is>
      </c>
      <c r="E437" t="inlineStr">
        <is>
          <t>Acme Hosting</t>
        </is>
      </c>
      <c r="F437" t="inlineStr">
        <is>
          <t>Mantenimiento intranets</t>
        </is>
      </c>
      <c r="G437" t="inlineStr">
        <is>
          <t>Campaña</t>
        </is>
      </c>
      <c r="H437" t="inlineStr">
        <is>
          <t>Ads LinkedIn para mantenimiento intranets</t>
        </is>
      </c>
      <c r="I437" s="5" t="n">
        <v>11367.61</v>
      </c>
      <c r="J437" s="3" t="n">
        <v>0.21</v>
      </c>
      <c r="K437" s="5">
        <f>ROUND(I437*(1+J437),2)</f>
        <v/>
      </c>
      <c r="L437" t="inlineStr">
        <is>
          <t>Variable</t>
        </is>
      </c>
      <c r="M437" t="inlineStr">
        <is>
          <t>Tecnología</t>
        </is>
      </c>
      <c r="N437" t="inlineStr">
        <is>
          <t>Portal internacional</t>
        </is>
      </c>
    </row>
    <row r="438">
      <c r="A438" t="inlineStr">
        <is>
          <t>GAS-0437</t>
        </is>
      </c>
      <c r="B438" s="2" t="n">
        <v>45698</v>
      </c>
      <c r="C438" t="inlineStr">
        <is>
          <t>Administración</t>
        </is>
      </c>
      <c r="D438" t="inlineStr">
        <is>
          <t>Telefonía</t>
        </is>
      </c>
      <c r="E438" t="inlineStr">
        <is>
          <t>MediaCloud</t>
        </is>
      </c>
      <c r="F438" t="inlineStr">
        <is>
          <t>Generación de noticias</t>
        </is>
      </c>
      <c r="G438" t="inlineStr">
        <is>
          <t>Proyecto puntual</t>
        </is>
      </c>
      <c r="H438" t="inlineStr">
        <is>
          <t>Telefonía para generación de noticias</t>
        </is>
      </c>
      <c r="I438" s="5" t="n">
        <v>994.79</v>
      </c>
      <c r="J438" s="3" t="n">
        <v>0.1</v>
      </c>
      <c r="K438" s="5">
        <f>ROUND(I438*(1+J438),2)</f>
        <v/>
      </c>
      <c r="L438" t="inlineStr">
        <is>
          <t>Variable</t>
        </is>
      </c>
      <c r="M438" t="inlineStr">
        <is>
          <t>Marketing</t>
        </is>
      </c>
      <c r="N438" t="inlineStr">
        <is>
          <t>Portal internacional</t>
        </is>
      </c>
    </row>
    <row r="439">
      <c r="A439" t="inlineStr">
        <is>
          <t>GAS-0438</t>
        </is>
      </c>
      <c r="B439" s="2" t="n">
        <v>45408</v>
      </c>
      <c r="C439" t="inlineStr">
        <is>
          <t>Marketing</t>
        </is>
      </c>
      <c r="D439" t="inlineStr">
        <is>
          <t>Ads Google</t>
        </is>
      </c>
      <c r="E439" t="inlineStr">
        <is>
          <t>AdVision</t>
        </is>
      </c>
      <c r="F439" t="inlineStr">
        <is>
          <t>Anuncios internet</t>
        </is>
      </c>
      <c r="G439" t="inlineStr">
        <is>
          <t>Retainer trimestral</t>
        </is>
      </c>
      <c r="H439" t="inlineStr">
        <is>
          <t>Ads Google para anuncios internet</t>
        </is>
      </c>
      <c r="I439" s="5" t="n">
        <v>7511.91</v>
      </c>
      <c r="J439" s="3" t="n">
        <v>0</v>
      </c>
      <c r="K439" s="5">
        <f>ROUND(I439*(1+J439),2)</f>
        <v/>
      </c>
      <c r="L439" t="inlineStr">
        <is>
          <t>Fijo</t>
        </is>
      </c>
      <c r="M439" t="inlineStr">
        <is>
          <t>Marketing</t>
        </is>
      </c>
      <c r="N439" t="inlineStr">
        <is>
          <t>Portal internacional</t>
        </is>
      </c>
    </row>
    <row r="440">
      <c r="A440" t="inlineStr">
        <is>
          <t>GAS-0439</t>
        </is>
      </c>
      <c r="B440" s="2" t="n">
        <v>45477</v>
      </c>
      <c r="C440" t="inlineStr">
        <is>
          <t>Marketing</t>
        </is>
      </c>
      <c r="D440" t="inlineStr">
        <is>
          <t>Ads Google</t>
        </is>
      </c>
      <c r="E440" t="inlineStr">
        <is>
          <t>MediaCloud</t>
        </is>
      </c>
      <c r="F440" t="inlineStr">
        <is>
          <t>Anuncios prensa</t>
        </is>
      </c>
      <c r="G440" t="inlineStr">
        <is>
          <t>Proyecto puntual</t>
        </is>
      </c>
      <c r="H440" t="inlineStr">
        <is>
          <t>Ads Google para anuncios prensa</t>
        </is>
      </c>
      <c r="I440" s="5" t="n">
        <v>5979.66</v>
      </c>
      <c r="J440" s="3" t="n">
        <v>0.21</v>
      </c>
      <c r="K440" s="5">
        <f>ROUND(I440*(1+J440),2)</f>
        <v/>
      </c>
      <c r="L440" t="inlineStr">
        <is>
          <t>Fijo</t>
        </is>
      </c>
      <c r="M440" t="inlineStr">
        <is>
          <t>Operaciones</t>
        </is>
      </c>
      <c r="N440" t="inlineStr">
        <is>
          <t>Campaña empleo</t>
        </is>
      </c>
    </row>
    <row r="441">
      <c r="A441" t="inlineStr">
        <is>
          <t>GAS-0440</t>
        </is>
      </c>
      <c r="B441" s="2" t="n">
        <v>45339</v>
      </c>
      <c r="C441" t="inlineStr">
        <is>
          <t>Tecnología</t>
        </is>
      </c>
      <c r="D441" t="inlineStr">
        <is>
          <t>Monitorización</t>
        </is>
      </c>
      <c r="E441" t="inlineStr">
        <is>
          <t>LinguaTech</t>
        </is>
      </c>
      <c r="F441" t="inlineStr">
        <is>
          <t>Anuncios TV</t>
        </is>
      </c>
      <c r="G441" t="inlineStr">
        <is>
          <t>Soporte anual</t>
        </is>
      </c>
      <c r="H441" t="inlineStr">
        <is>
          <t>Monitorización para anuncios tv</t>
        </is>
      </c>
      <c r="I441" s="5" t="n">
        <v>1379.02</v>
      </c>
      <c r="J441" s="3" t="n">
        <v>0.21</v>
      </c>
      <c r="K441" s="5">
        <f>ROUND(I441*(1+J441),2)</f>
        <v/>
      </c>
      <c r="L441" t="inlineStr">
        <is>
          <t>Variable</t>
        </is>
      </c>
      <c r="M441" t="inlineStr">
        <is>
          <t>Comercial</t>
        </is>
      </c>
      <c r="N441" t="inlineStr">
        <is>
          <t>Portal internacional</t>
        </is>
      </c>
    </row>
    <row r="442">
      <c r="A442" t="inlineStr">
        <is>
          <t>GAS-0441</t>
        </is>
      </c>
      <c r="B442" s="2" t="n">
        <v>45442</v>
      </c>
      <c r="C442" t="inlineStr">
        <is>
          <t>Tecnología</t>
        </is>
      </c>
      <c r="D442" t="inlineStr">
        <is>
          <t>Software traducción</t>
        </is>
      </c>
      <c r="E442" t="inlineStr">
        <is>
          <t>CloudPulse</t>
        </is>
      </c>
      <c r="F442" t="inlineStr">
        <is>
          <t>Publicación de noticias</t>
        </is>
      </c>
      <c r="G442" t="inlineStr">
        <is>
          <t>Soporte anual</t>
        </is>
      </c>
      <c r="H442" t="inlineStr">
        <is>
          <t>Software traducción para publicación de noticias</t>
        </is>
      </c>
      <c r="I442" s="5" t="n">
        <v>320.41</v>
      </c>
      <c r="J442" s="3" t="n">
        <v>0</v>
      </c>
      <c r="K442" s="5">
        <f>ROUND(I442*(1+J442),2)</f>
        <v/>
      </c>
      <c r="L442" t="inlineStr">
        <is>
          <t>Variable</t>
        </is>
      </c>
      <c r="M442" t="inlineStr">
        <is>
          <t>Comercial</t>
        </is>
      </c>
      <c r="N442" t="inlineStr">
        <is>
          <t>Intranet operaciones</t>
        </is>
      </c>
    </row>
    <row r="443">
      <c r="A443" t="inlineStr">
        <is>
          <t>GAS-0442</t>
        </is>
      </c>
      <c r="B443" s="2" t="n">
        <v>45404</v>
      </c>
      <c r="C443" t="inlineStr">
        <is>
          <t>Operaciones</t>
        </is>
      </c>
      <c r="D443" t="inlineStr">
        <is>
          <t>Revisión editorial</t>
        </is>
      </c>
      <c r="E443" t="inlineStr">
        <is>
          <t>NoticiasPro</t>
        </is>
      </c>
      <c r="F443" t="inlineStr">
        <is>
          <t>Anuncios TV</t>
        </is>
      </c>
      <c r="G443" t="inlineStr">
        <is>
          <t>Proyecto puntual</t>
        </is>
      </c>
      <c r="H443" t="inlineStr">
        <is>
          <t>Revisión editorial para anuncios tv</t>
        </is>
      </c>
      <c r="I443" s="5" t="n">
        <v>1463.14</v>
      </c>
      <c r="J443" s="3" t="n">
        <v>0.21</v>
      </c>
      <c r="K443" s="5">
        <f>ROUND(I443*(1+J443),2)</f>
        <v/>
      </c>
      <c r="L443" t="inlineStr">
        <is>
          <t>Fijo</t>
        </is>
      </c>
      <c r="M443" t="inlineStr">
        <is>
          <t>Comercial</t>
        </is>
      </c>
      <c r="N443" t="inlineStr">
        <is>
          <t>Portal corporativo</t>
        </is>
      </c>
    </row>
    <row r="444">
      <c r="A444" t="inlineStr">
        <is>
          <t>GAS-0443</t>
        </is>
      </c>
      <c r="B444" s="2" t="n">
        <v>45726</v>
      </c>
      <c r="C444" t="inlineStr">
        <is>
          <t>Personal</t>
        </is>
      </c>
      <c r="D444" t="inlineStr">
        <is>
          <t>Salarios</t>
        </is>
      </c>
      <c r="E444" t="inlineStr">
        <is>
          <t>NominaPlus</t>
        </is>
      </c>
      <c r="F444" t="inlineStr">
        <is>
          <t>Anuncios internet</t>
        </is>
      </c>
      <c r="G444" t="inlineStr">
        <is>
          <t>Soporte anual</t>
        </is>
      </c>
      <c r="H444" t="inlineStr">
        <is>
          <t>Salarios para anuncios internet</t>
        </is>
      </c>
      <c r="I444" s="5" t="n">
        <v>7316.89</v>
      </c>
      <c r="J444" s="3" t="n">
        <v>0.21</v>
      </c>
      <c r="K444" s="5">
        <f>ROUND(I444*(1+J444),2)</f>
        <v/>
      </c>
      <c r="L444" t="inlineStr">
        <is>
          <t>Variable</t>
        </is>
      </c>
      <c r="M444" t="inlineStr">
        <is>
          <t>Tecnología</t>
        </is>
      </c>
      <c r="N444" t="inlineStr">
        <is>
          <t>Portal internacional</t>
        </is>
      </c>
    </row>
    <row r="445">
      <c r="A445" t="inlineStr">
        <is>
          <t>GAS-0444</t>
        </is>
      </c>
      <c r="B445" s="2" t="n">
        <v>45646</v>
      </c>
      <c r="C445" t="inlineStr">
        <is>
          <t>Operaciones</t>
        </is>
      </c>
      <c r="D445" t="inlineStr">
        <is>
          <t>Subtitulación</t>
        </is>
      </c>
      <c r="E445" t="inlineStr">
        <is>
          <t>MediaCloud</t>
        </is>
      </c>
      <c r="F445" t="inlineStr">
        <is>
          <t>Anuncios prensa</t>
        </is>
      </c>
      <c r="G445" t="inlineStr">
        <is>
          <t>Retainer trimestral</t>
        </is>
      </c>
      <c r="H445" t="inlineStr">
        <is>
          <t>Subtitulación para anuncios prensa</t>
        </is>
      </c>
      <c r="I445" s="5" t="n">
        <v>2022.91</v>
      </c>
      <c r="J445" s="3" t="n">
        <v>0.21</v>
      </c>
      <c r="K445" s="5">
        <f>ROUND(I445*(1+J445),2)</f>
        <v/>
      </c>
      <c r="L445" t="inlineStr">
        <is>
          <t>Fijo</t>
        </is>
      </c>
      <c r="M445" t="inlineStr">
        <is>
          <t>Operaciones</t>
        </is>
      </c>
      <c r="N445" t="inlineStr">
        <is>
          <t>Intranet operaciones</t>
        </is>
      </c>
    </row>
    <row r="446">
      <c r="A446" t="inlineStr">
        <is>
          <t>GAS-0445</t>
        </is>
      </c>
      <c r="B446" s="2" t="n">
        <v>45530</v>
      </c>
      <c r="C446" t="inlineStr">
        <is>
          <t>Tecnología</t>
        </is>
      </c>
      <c r="D446" t="inlineStr">
        <is>
          <t>Hosting</t>
        </is>
      </c>
      <c r="E446" t="inlineStr">
        <is>
          <t>IntraSys</t>
        </is>
      </c>
      <c r="F446" t="inlineStr">
        <is>
          <t>Mantenimiento intranets</t>
        </is>
      </c>
      <c r="G446" t="inlineStr">
        <is>
          <t>Soporte anual</t>
        </is>
      </c>
      <c r="H446" t="inlineStr">
        <is>
          <t>Hosting para mantenimiento intranets</t>
        </is>
      </c>
      <c r="I446" s="5" t="n">
        <v>1744.75</v>
      </c>
      <c r="J446" s="3" t="n">
        <v>0</v>
      </c>
      <c r="K446" s="5">
        <f>ROUND(I446*(1+J446),2)</f>
        <v/>
      </c>
      <c r="L446" t="inlineStr">
        <is>
          <t>Variable</t>
        </is>
      </c>
      <c r="M446" t="inlineStr">
        <is>
          <t>Administración</t>
        </is>
      </c>
      <c r="N446" t="inlineStr">
        <is>
          <t>Intranet operaciones</t>
        </is>
      </c>
    </row>
    <row r="447">
      <c r="A447" t="inlineStr">
        <is>
          <t>GAS-0446</t>
        </is>
      </c>
      <c r="B447" s="2" t="n">
        <v>45469</v>
      </c>
      <c r="C447" t="inlineStr">
        <is>
          <t>Tecnología</t>
        </is>
      </c>
      <c r="D447" t="inlineStr">
        <is>
          <t>Software traducción</t>
        </is>
      </c>
      <c r="E447" t="inlineStr">
        <is>
          <t>Legal Iberia</t>
        </is>
      </c>
      <c r="F447" t="inlineStr">
        <is>
          <t>Traducciones</t>
        </is>
      </c>
      <c r="G447" t="inlineStr">
        <is>
          <t>Proyecto puntual</t>
        </is>
      </c>
      <c r="H447" t="inlineStr">
        <is>
          <t>Software traducción para traducciones</t>
        </is>
      </c>
      <c r="I447" s="5" t="n">
        <v>477.51</v>
      </c>
      <c r="J447" s="3" t="n">
        <v>0</v>
      </c>
      <c r="K447" s="5">
        <f>ROUND(I447*(1+J447),2)</f>
        <v/>
      </c>
      <c r="L447" t="inlineStr">
        <is>
          <t>Variable</t>
        </is>
      </c>
      <c r="M447" t="inlineStr">
        <is>
          <t>Operaciones</t>
        </is>
      </c>
      <c r="N447" t="inlineStr">
        <is>
          <t>Centro de prensa</t>
        </is>
      </c>
    </row>
    <row r="448">
      <c r="A448" t="inlineStr">
        <is>
          <t>GAS-0447</t>
        </is>
      </c>
      <c r="B448" s="2" t="n">
        <v>45450</v>
      </c>
      <c r="C448" t="inlineStr">
        <is>
          <t>Tecnología</t>
        </is>
      </c>
      <c r="D448" t="inlineStr">
        <is>
          <t>Hosting</t>
        </is>
      </c>
      <c r="E448" t="inlineStr">
        <is>
          <t>NominaPlus</t>
        </is>
      </c>
      <c r="F448" t="inlineStr">
        <is>
          <t>Anuncios internet</t>
        </is>
      </c>
      <c r="G448" t="inlineStr">
        <is>
          <t>Retainer trimestral</t>
        </is>
      </c>
      <c r="H448" t="inlineStr">
        <is>
          <t>Hosting para anuncios internet</t>
        </is>
      </c>
      <c r="I448" s="5" t="n">
        <v>1853.33</v>
      </c>
      <c r="J448" s="3" t="n">
        <v>0.21</v>
      </c>
      <c r="K448" s="5">
        <f>ROUND(I448*(1+J448),2)</f>
        <v/>
      </c>
      <c r="L448" t="inlineStr">
        <is>
          <t>Fijo</t>
        </is>
      </c>
      <c r="M448" t="inlineStr">
        <is>
          <t>Administración</t>
        </is>
      </c>
      <c r="N448" t="inlineStr">
        <is>
          <t>Microsite RRHH</t>
        </is>
      </c>
    </row>
    <row r="449">
      <c r="A449" t="inlineStr">
        <is>
          <t>GAS-0448</t>
        </is>
      </c>
      <c r="B449" s="2" t="n">
        <v>45688</v>
      </c>
      <c r="C449" t="inlineStr">
        <is>
          <t>Personal</t>
        </is>
      </c>
      <c r="D449" t="inlineStr">
        <is>
          <t>Formación</t>
        </is>
      </c>
      <c r="E449" t="inlineStr">
        <is>
          <t>LinguaTech</t>
        </is>
      </c>
      <c r="F449" t="inlineStr">
        <is>
          <t>Anuncios RRHH</t>
        </is>
      </c>
      <c r="G449" t="inlineStr">
        <is>
          <t>Soporte anual</t>
        </is>
      </c>
      <c r="H449" t="inlineStr">
        <is>
          <t>Formación para anuncios rrhh</t>
        </is>
      </c>
      <c r="I449" s="5" t="n">
        <v>7497.96</v>
      </c>
      <c r="J449" s="3" t="n">
        <v>0</v>
      </c>
      <c r="K449" s="5">
        <f>ROUND(I449*(1+J449),2)</f>
        <v/>
      </c>
      <c r="L449" t="inlineStr">
        <is>
          <t>Variable</t>
        </is>
      </c>
      <c r="M449" t="inlineStr">
        <is>
          <t>Comercial</t>
        </is>
      </c>
      <c r="N449" t="inlineStr">
        <is>
          <t>Campaña empleo</t>
        </is>
      </c>
    </row>
    <row r="450">
      <c r="A450" t="inlineStr">
        <is>
          <t>GAS-0449</t>
        </is>
      </c>
      <c r="B450" s="2" t="n">
        <v>45340</v>
      </c>
      <c r="C450" t="inlineStr">
        <is>
          <t>Personal</t>
        </is>
      </c>
      <c r="D450" t="inlineStr">
        <is>
          <t>Formación</t>
        </is>
      </c>
      <c r="E450" t="inlineStr">
        <is>
          <t>TVSpot Studio</t>
        </is>
      </c>
      <c r="F450" t="inlineStr">
        <is>
          <t>Publicación de noticias</t>
        </is>
      </c>
      <c r="G450" t="inlineStr">
        <is>
          <t>Soporte anual</t>
        </is>
      </c>
      <c r="H450" t="inlineStr">
        <is>
          <t>Formación para publicación de noticias</t>
        </is>
      </c>
      <c r="I450" s="5" t="n">
        <v>7300.9</v>
      </c>
      <c r="J450" s="3" t="n">
        <v>0.21</v>
      </c>
      <c r="K450" s="5">
        <f>ROUND(I450*(1+J450),2)</f>
        <v/>
      </c>
      <c r="L450" t="inlineStr">
        <is>
          <t>Variable</t>
        </is>
      </c>
      <c r="M450" t="inlineStr">
        <is>
          <t>Marketing</t>
        </is>
      </c>
      <c r="N450" t="inlineStr">
        <is>
          <t>Intranet operaciones</t>
        </is>
      </c>
    </row>
    <row r="451">
      <c r="A451" t="inlineStr">
        <is>
          <t>GAS-0450</t>
        </is>
      </c>
      <c r="B451" s="2" t="n">
        <v>45386</v>
      </c>
      <c r="C451" t="inlineStr">
        <is>
          <t>Personal</t>
        </is>
      </c>
      <c r="D451" t="inlineStr">
        <is>
          <t>Seguridad Social</t>
        </is>
      </c>
      <c r="E451" t="inlineStr">
        <is>
          <t>IntraSys</t>
        </is>
      </c>
      <c r="F451" t="inlineStr">
        <is>
          <t>Publicación de noticias</t>
        </is>
      </c>
      <c r="G451" t="inlineStr">
        <is>
          <t>Campaña</t>
        </is>
      </c>
      <c r="H451" t="inlineStr">
        <is>
          <t>Seguridad Social para publicación de noticias</t>
        </is>
      </c>
      <c r="I451" s="5" t="n">
        <v>1899.8</v>
      </c>
      <c r="J451" s="3" t="n">
        <v>0.21</v>
      </c>
      <c r="K451" s="5">
        <f>ROUND(I451*(1+J451),2)</f>
        <v/>
      </c>
      <c r="L451" t="inlineStr">
        <is>
          <t>Fijo</t>
        </is>
      </c>
      <c r="M451" t="inlineStr">
        <is>
          <t>Tecnología</t>
        </is>
      </c>
      <c r="N451" t="inlineStr">
        <is>
          <t>Intranet comercial</t>
        </is>
      </c>
    </row>
    <row r="452">
      <c r="A452" t="inlineStr">
        <is>
          <t>GAS-0451</t>
        </is>
      </c>
      <c r="B452" s="2" t="n">
        <v>45340</v>
      </c>
      <c r="C452" t="inlineStr">
        <is>
          <t>Personal</t>
        </is>
      </c>
      <c r="D452" t="inlineStr">
        <is>
          <t>Salarios</t>
        </is>
      </c>
      <c r="E452" t="inlineStr">
        <is>
          <t>MediaCloud</t>
        </is>
      </c>
      <c r="F452" t="inlineStr">
        <is>
          <t>Anuncios TV</t>
        </is>
      </c>
      <c r="G452" t="inlineStr">
        <is>
          <t>Suscripción mensual</t>
        </is>
      </c>
      <c r="H452" t="inlineStr">
        <is>
          <t>Salarios para anuncios tv</t>
        </is>
      </c>
      <c r="I452" s="5" t="n">
        <v>3081.71</v>
      </c>
      <c r="J452" s="3" t="n">
        <v>0.1</v>
      </c>
      <c r="K452" s="5">
        <f>ROUND(I452*(1+J452),2)</f>
        <v/>
      </c>
      <c r="L452" t="inlineStr">
        <is>
          <t>Fijo</t>
        </is>
      </c>
      <c r="M452" t="inlineStr">
        <is>
          <t>Operaciones</t>
        </is>
      </c>
      <c r="N452" t="inlineStr">
        <is>
          <t>Portal internacional</t>
        </is>
      </c>
    </row>
    <row r="453">
      <c r="A453" t="inlineStr">
        <is>
          <t>GAS-0452</t>
        </is>
      </c>
      <c r="B453" s="2" t="n">
        <v>45403</v>
      </c>
      <c r="C453" t="inlineStr">
        <is>
          <t>Tecnología</t>
        </is>
      </c>
      <c r="D453" t="inlineStr">
        <is>
          <t>Hosting</t>
        </is>
      </c>
      <c r="E453" t="inlineStr">
        <is>
          <t>AdVision</t>
        </is>
      </c>
      <c r="F453" t="inlineStr">
        <is>
          <t>Anuncios RRHH</t>
        </is>
      </c>
      <c r="G453" t="inlineStr">
        <is>
          <t>Suscripción mensual</t>
        </is>
      </c>
      <c r="H453" t="inlineStr">
        <is>
          <t>Hosting para anuncios rrhh</t>
        </is>
      </c>
      <c r="I453" s="5" t="n">
        <v>2297.25</v>
      </c>
      <c r="J453" s="3" t="n">
        <v>0.21</v>
      </c>
      <c r="K453" s="5">
        <f>ROUND(I453*(1+J453),2)</f>
        <v/>
      </c>
      <c r="L453" t="inlineStr">
        <is>
          <t>Variable</t>
        </is>
      </c>
      <c r="M453" t="inlineStr">
        <is>
          <t>Administración</t>
        </is>
      </c>
      <c r="N453" t="inlineStr">
        <is>
          <t>Sección noticias</t>
        </is>
      </c>
    </row>
    <row r="454">
      <c r="A454" t="inlineStr">
        <is>
          <t>GAS-0453</t>
        </is>
      </c>
      <c r="B454" s="2" t="n">
        <v>45698</v>
      </c>
      <c r="C454" t="inlineStr">
        <is>
          <t>Operaciones</t>
        </is>
      </c>
      <c r="D454" t="inlineStr">
        <is>
          <t>Revisión editorial</t>
        </is>
      </c>
      <c r="E454" t="inlineStr">
        <is>
          <t>LinguaTech</t>
        </is>
      </c>
      <c r="F454" t="inlineStr">
        <is>
          <t>Anuncios TV</t>
        </is>
      </c>
      <c r="G454" t="inlineStr">
        <is>
          <t>Retainer trimestral</t>
        </is>
      </c>
      <c r="H454" t="inlineStr">
        <is>
          <t>Revisión editorial para anuncios tv</t>
        </is>
      </c>
      <c r="I454" s="5" t="n">
        <v>376.83</v>
      </c>
      <c r="J454" s="3" t="n">
        <v>0.21</v>
      </c>
      <c r="K454" s="5">
        <f>ROUND(I454*(1+J454),2)</f>
        <v/>
      </c>
      <c r="L454" t="inlineStr">
        <is>
          <t>Fijo</t>
        </is>
      </c>
      <c r="M454" t="inlineStr">
        <is>
          <t>Tecnología</t>
        </is>
      </c>
      <c r="N454" t="inlineStr">
        <is>
          <t>Sección noticias</t>
        </is>
      </c>
    </row>
    <row r="455">
      <c r="A455" t="inlineStr">
        <is>
          <t>GAS-0454</t>
        </is>
      </c>
      <c r="B455" s="2" t="n">
        <v>45629</v>
      </c>
      <c r="C455" t="inlineStr">
        <is>
          <t>Tecnología</t>
        </is>
      </c>
      <c r="D455" t="inlineStr">
        <is>
          <t>Licencias CMS</t>
        </is>
      </c>
      <c r="E455" t="inlineStr">
        <is>
          <t>NominaPlus</t>
        </is>
      </c>
      <c r="F455" t="inlineStr">
        <is>
          <t>Traducciones</t>
        </is>
      </c>
      <c r="G455" t="inlineStr">
        <is>
          <t>Campaña</t>
        </is>
      </c>
      <c r="H455" t="inlineStr">
        <is>
          <t>Licencias CMS para traducciones</t>
        </is>
      </c>
      <c r="I455" s="5" t="n">
        <v>1480.13</v>
      </c>
      <c r="J455" s="3" t="n">
        <v>0.21</v>
      </c>
      <c r="K455" s="5">
        <f>ROUND(I455*(1+J455),2)</f>
        <v/>
      </c>
      <c r="L455" t="inlineStr">
        <is>
          <t>Fijo</t>
        </is>
      </c>
      <c r="M455" t="inlineStr">
        <is>
          <t>Administración</t>
        </is>
      </c>
      <c r="N455" t="inlineStr">
        <is>
          <t>Intranet comercial</t>
        </is>
      </c>
    </row>
    <row r="456">
      <c r="A456" t="inlineStr">
        <is>
          <t>GAS-0455</t>
        </is>
      </c>
      <c r="B456" s="2" t="n">
        <v>45537</v>
      </c>
      <c r="C456" t="inlineStr">
        <is>
          <t>Personal</t>
        </is>
      </c>
      <c r="D456" t="inlineStr">
        <is>
          <t>Seguridad Social</t>
        </is>
      </c>
      <c r="E456" t="inlineStr">
        <is>
          <t>SEO Metrics</t>
        </is>
      </c>
      <c r="F456" t="inlineStr">
        <is>
          <t>Publicación de noticias</t>
        </is>
      </c>
      <c r="G456" t="inlineStr">
        <is>
          <t>Soporte anual</t>
        </is>
      </c>
      <c r="H456" t="inlineStr">
        <is>
          <t>Seguridad Social para publicación de noticias</t>
        </is>
      </c>
      <c r="I456" s="5" t="n">
        <v>2947.99</v>
      </c>
      <c r="J456" s="3" t="n">
        <v>0</v>
      </c>
      <c r="K456" s="5">
        <f>ROUND(I456*(1+J456),2)</f>
        <v/>
      </c>
      <c r="L456" t="inlineStr">
        <is>
          <t>Fijo</t>
        </is>
      </c>
      <c r="M456" t="inlineStr">
        <is>
          <t>Tecnología</t>
        </is>
      </c>
      <c r="N456" t="inlineStr">
        <is>
          <t>Microsite RRHH</t>
        </is>
      </c>
    </row>
    <row r="457">
      <c r="A457" t="inlineStr">
        <is>
          <t>GAS-0456</t>
        </is>
      </c>
      <c r="B457" s="2" t="n">
        <v>45514</v>
      </c>
      <c r="C457" t="inlineStr">
        <is>
          <t>Marketing</t>
        </is>
      </c>
      <c r="D457" t="inlineStr">
        <is>
          <t>Ads Google</t>
        </is>
      </c>
      <c r="E457" t="inlineStr">
        <is>
          <t>TVSpot Studio</t>
        </is>
      </c>
      <c r="F457" t="inlineStr">
        <is>
          <t>Generación de noticias</t>
        </is>
      </c>
      <c r="G457" t="inlineStr">
        <is>
          <t>Suscripción mensual</t>
        </is>
      </c>
      <c r="H457" t="inlineStr">
        <is>
          <t>Ads Google para generación de noticias</t>
        </is>
      </c>
      <c r="I457" s="5" t="n">
        <v>2617.09</v>
      </c>
      <c r="J457" s="3" t="n">
        <v>0.21</v>
      </c>
      <c r="K457" s="5">
        <f>ROUND(I457*(1+J457),2)</f>
        <v/>
      </c>
      <c r="L457" t="inlineStr">
        <is>
          <t>Fijo</t>
        </is>
      </c>
      <c r="M457" t="inlineStr">
        <is>
          <t>Marketing</t>
        </is>
      </c>
      <c r="N457" t="inlineStr">
        <is>
          <t>Intranet comercial</t>
        </is>
      </c>
    </row>
    <row r="458">
      <c r="A458" t="inlineStr">
        <is>
          <t>GAS-0457</t>
        </is>
      </c>
      <c r="B458" s="2" t="n">
        <v>45562</v>
      </c>
      <c r="C458" t="inlineStr">
        <is>
          <t>Personal</t>
        </is>
      </c>
      <c r="D458" t="inlineStr">
        <is>
          <t>Seguridad Social</t>
        </is>
      </c>
      <c r="E458" t="inlineStr">
        <is>
          <t>Acme Hosting</t>
        </is>
      </c>
      <c r="F458" t="inlineStr">
        <is>
          <t>Anuncios prensa</t>
        </is>
      </c>
      <c r="G458" t="inlineStr">
        <is>
          <t>Proyecto puntual</t>
        </is>
      </c>
      <c r="H458" t="inlineStr">
        <is>
          <t>Seguridad Social para anuncios prensa</t>
        </is>
      </c>
      <c r="I458" s="5" t="n">
        <v>3433.05</v>
      </c>
      <c r="J458" s="3" t="n">
        <v>0</v>
      </c>
      <c r="K458" s="5">
        <f>ROUND(I458*(1+J458),2)</f>
        <v/>
      </c>
      <c r="L458" t="inlineStr">
        <is>
          <t>Variable</t>
        </is>
      </c>
      <c r="M458" t="inlineStr">
        <is>
          <t>Administración</t>
        </is>
      </c>
      <c r="N458" t="inlineStr">
        <is>
          <t>Sección noticias</t>
        </is>
      </c>
    </row>
    <row r="459">
      <c r="A459" t="inlineStr">
        <is>
          <t>GAS-0458</t>
        </is>
      </c>
      <c r="B459" s="2" t="n">
        <v>45713</v>
      </c>
      <c r="C459" t="inlineStr">
        <is>
          <t>Marketing</t>
        </is>
      </c>
      <c r="D459" t="inlineStr">
        <is>
          <t>Ads LinkedIn</t>
        </is>
      </c>
      <c r="E459" t="inlineStr">
        <is>
          <t>SEO Metrics</t>
        </is>
      </c>
      <c r="F459" t="inlineStr">
        <is>
          <t>Anuncios TV</t>
        </is>
      </c>
      <c r="G459" t="inlineStr">
        <is>
          <t>Campaña</t>
        </is>
      </c>
      <c r="H459" t="inlineStr">
        <is>
          <t>Ads LinkedIn para anuncios tv</t>
        </is>
      </c>
      <c r="I459" s="5" t="n">
        <v>4803.35</v>
      </c>
      <c r="J459" s="3" t="n">
        <v>0.1</v>
      </c>
      <c r="K459" s="5">
        <f>ROUND(I459*(1+J459),2)</f>
        <v/>
      </c>
      <c r="L459" t="inlineStr">
        <is>
          <t>Fijo</t>
        </is>
      </c>
      <c r="M459" t="inlineStr">
        <is>
          <t>Administración</t>
        </is>
      </c>
      <c r="N459" t="inlineStr">
        <is>
          <t>Portal internacional</t>
        </is>
      </c>
    </row>
    <row r="460">
      <c r="A460" t="inlineStr">
        <is>
          <t>GAS-0459</t>
        </is>
      </c>
      <c r="B460" s="2" t="n">
        <v>45396</v>
      </c>
      <c r="C460" t="inlineStr">
        <is>
          <t>Marketing</t>
        </is>
      </c>
      <c r="D460" t="inlineStr">
        <is>
          <t>Ads LinkedIn</t>
        </is>
      </c>
      <c r="E460" t="inlineStr">
        <is>
          <t>Legal Iberia</t>
        </is>
      </c>
      <c r="F460" t="inlineStr">
        <is>
          <t>Mantenimiento intranets</t>
        </is>
      </c>
      <c r="G460" t="inlineStr">
        <is>
          <t>Proyecto puntual</t>
        </is>
      </c>
      <c r="H460" t="inlineStr">
        <is>
          <t>Ads LinkedIn para mantenimiento intranets</t>
        </is>
      </c>
      <c r="I460" s="5" t="n">
        <v>10740.57</v>
      </c>
      <c r="J460" s="3" t="n">
        <v>0.1</v>
      </c>
      <c r="K460" s="5">
        <f>ROUND(I460*(1+J460),2)</f>
        <v/>
      </c>
      <c r="L460" t="inlineStr">
        <is>
          <t>Fijo</t>
        </is>
      </c>
      <c r="M460" t="inlineStr">
        <is>
          <t>Operaciones</t>
        </is>
      </c>
      <c r="N460" t="inlineStr">
        <is>
          <t>Microsite RRHH</t>
        </is>
      </c>
    </row>
    <row r="461">
      <c r="A461" t="inlineStr">
        <is>
          <t>GAS-0460</t>
        </is>
      </c>
      <c r="B461" s="2" t="n">
        <v>45382</v>
      </c>
      <c r="C461" t="inlineStr">
        <is>
          <t>Personal</t>
        </is>
      </c>
      <c r="D461" t="inlineStr">
        <is>
          <t>Formación</t>
        </is>
      </c>
      <c r="E461" t="inlineStr">
        <is>
          <t>TVSpot Studio</t>
        </is>
      </c>
      <c r="F461" t="inlineStr">
        <is>
          <t>Traducciones</t>
        </is>
      </c>
      <c r="G461" t="inlineStr">
        <is>
          <t>Proyecto puntual</t>
        </is>
      </c>
      <c r="H461" t="inlineStr">
        <is>
          <t>Formación para traducciones</t>
        </is>
      </c>
      <c r="I461" s="5" t="n">
        <v>7947.48</v>
      </c>
      <c r="J461" s="3" t="n">
        <v>0.21</v>
      </c>
      <c r="K461" s="5">
        <f>ROUND(I461*(1+J461),2)</f>
        <v/>
      </c>
      <c r="L461" t="inlineStr">
        <is>
          <t>Variable</t>
        </is>
      </c>
      <c r="M461" t="inlineStr">
        <is>
          <t>Operaciones</t>
        </is>
      </c>
      <c r="N461" t="inlineStr">
        <is>
          <t>Sección noticias</t>
        </is>
      </c>
    </row>
    <row r="462">
      <c r="A462" t="inlineStr">
        <is>
          <t>GAS-0461</t>
        </is>
      </c>
      <c r="B462" s="2" t="n">
        <v>45396</v>
      </c>
      <c r="C462" t="inlineStr">
        <is>
          <t>Personal</t>
        </is>
      </c>
      <c r="D462" t="inlineStr">
        <is>
          <t>Salarios</t>
        </is>
      </c>
      <c r="E462" t="inlineStr">
        <is>
          <t>SEO Metrics</t>
        </is>
      </c>
      <c r="F462" t="inlineStr">
        <is>
          <t>Generación de noticias</t>
        </is>
      </c>
      <c r="G462" t="inlineStr">
        <is>
          <t>Retainer trimestral</t>
        </is>
      </c>
      <c r="H462" t="inlineStr">
        <is>
          <t>Salarios para generación de noticias</t>
        </is>
      </c>
      <c r="I462" s="5" t="n">
        <v>7638.2</v>
      </c>
      <c r="J462" s="3" t="n">
        <v>0.21</v>
      </c>
      <c r="K462" s="5">
        <f>ROUND(I462*(1+J462),2)</f>
        <v/>
      </c>
      <c r="L462" t="inlineStr">
        <is>
          <t>Fijo</t>
        </is>
      </c>
      <c r="M462" t="inlineStr">
        <is>
          <t>Marketing</t>
        </is>
      </c>
      <c r="N462" t="inlineStr">
        <is>
          <t>Microsite RRHH</t>
        </is>
      </c>
    </row>
    <row r="463">
      <c r="A463" t="inlineStr">
        <is>
          <t>GAS-0462</t>
        </is>
      </c>
      <c r="B463" s="2" t="n">
        <v>45357</v>
      </c>
      <c r="C463" t="inlineStr">
        <is>
          <t>Tecnología</t>
        </is>
      </c>
      <c r="D463" t="inlineStr">
        <is>
          <t>Licencias CMS</t>
        </is>
      </c>
      <c r="E463" t="inlineStr">
        <is>
          <t>SEO Metrics</t>
        </is>
      </c>
      <c r="F463" t="inlineStr">
        <is>
          <t>Anuncios internet</t>
        </is>
      </c>
      <c r="G463" t="inlineStr">
        <is>
          <t>Proyecto puntual</t>
        </is>
      </c>
      <c r="H463" t="inlineStr">
        <is>
          <t>Licencias CMS para anuncios internet</t>
        </is>
      </c>
      <c r="I463" s="5" t="n">
        <v>104.2</v>
      </c>
      <c r="J463" s="3" t="n">
        <v>0</v>
      </c>
      <c r="K463" s="5">
        <f>ROUND(I463*(1+J463),2)</f>
        <v/>
      </c>
      <c r="L463" t="inlineStr">
        <is>
          <t>Fijo</t>
        </is>
      </c>
      <c r="M463" t="inlineStr">
        <is>
          <t>Operaciones</t>
        </is>
      </c>
      <c r="N463" t="inlineStr">
        <is>
          <t>Sección noticias</t>
        </is>
      </c>
    </row>
    <row r="464">
      <c r="A464" t="inlineStr">
        <is>
          <t>GAS-0463</t>
        </is>
      </c>
      <c r="B464" s="2" t="n">
        <v>45647</v>
      </c>
      <c r="C464" t="inlineStr">
        <is>
          <t>Operaciones</t>
        </is>
      </c>
      <c r="D464" t="inlineStr">
        <is>
          <t>QA intranet</t>
        </is>
      </c>
      <c r="E464" t="inlineStr">
        <is>
          <t>TVSpot Studio</t>
        </is>
      </c>
      <c r="F464" t="inlineStr">
        <is>
          <t>Traducciones</t>
        </is>
      </c>
      <c r="G464" t="inlineStr">
        <is>
          <t>Retainer trimestral</t>
        </is>
      </c>
      <c r="H464" t="inlineStr">
        <is>
          <t>QA intranet para traducciones</t>
        </is>
      </c>
      <c r="I464" s="5" t="n">
        <v>1650.52</v>
      </c>
      <c r="J464" s="3" t="n">
        <v>0.1</v>
      </c>
      <c r="K464" s="5">
        <f>ROUND(I464*(1+J464),2)</f>
        <v/>
      </c>
      <c r="L464" t="inlineStr">
        <is>
          <t>Variable</t>
        </is>
      </c>
      <c r="M464" t="inlineStr">
        <is>
          <t>Tecnología</t>
        </is>
      </c>
      <c r="N464" t="inlineStr">
        <is>
          <t>Centro de prensa</t>
        </is>
      </c>
    </row>
    <row r="465">
      <c r="A465" t="inlineStr">
        <is>
          <t>GAS-0464</t>
        </is>
      </c>
      <c r="B465" s="2" t="n">
        <v>45357</v>
      </c>
      <c r="C465" t="inlineStr">
        <is>
          <t>Personal</t>
        </is>
      </c>
      <c r="D465" t="inlineStr">
        <is>
          <t>Salarios</t>
        </is>
      </c>
      <c r="E465" t="inlineStr">
        <is>
          <t>NominaPlus</t>
        </is>
      </c>
      <c r="F465" t="inlineStr">
        <is>
          <t>Anuncios prensa</t>
        </is>
      </c>
      <c r="G465" t="inlineStr">
        <is>
          <t>Suscripción mensual</t>
        </is>
      </c>
      <c r="H465" t="inlineStr">
        <is>
          <t>Salarios para anuncios prensa</t>
        </is>
      </c>
      <c r="I465" s="5" t="n">
        <v>7207.01</v>
      </c>
      <c r="J465" s="3" t="n">
        <v>0.21</v>
      </c>
      <c r="K465" s="5">
        <f>ROUND(I465*(1+J465),2)</f>
        <v/>
      </c>
      <c r="L465" t="inlineStr">
        <is>
          <t>Variable</t>
        </is>
      </c>
      <c r="M465" t="inlineStr">
        <is>
          <t>Operaciones</t>
        </is>
      </c>
      <c r="N465" t="inlineStr">
        <is>
          <t>Intranet comercial</t>
        </is>
      </c>
    </row>
    <row r="466">
      <c r="A466" t="inlineStr">
        <is>
          <t>GAS-0465</t>
        </is>
      </c>
      <c r="B466" s="2" t="n">
        <v>45670</v>
      </c>
      <c r="C466" t="inlineStr">
        <is>
          <t>Personal</t>
        </is>
      </c>
      <c r="D466" t="inlineStr">
        <is>
          <t>Seguridad Social</t>
        </is>
      </c>
      <c r="E466" t="inlineStr">
        <is>
          <t>MediaCloud</t>
        </is>
      </c>
      <c r="F466" t="inlineStr">
        <is>
          <t>Publicación de noticias</t>
        </is>
      </c>
      <c r="G466" t="inlineStr">
        <is>
          <t>Campaña</t>
        </is>
      </c>
      <c r="H466" t="inlineStr">
        <is>
          <t>Seguridad Social para publicación de noticias</t>
        </is>
      </c>
      <c r="I466" s="5" t="n">
        <v>1810.34</v>
      </c>
      <c r="J466" s="3" t="n">
        <v>0.1</v>
      </c>
      <c r="K466" s="5">
        <f>ROUND(I466*(1+J466),2)</f>
        <v/>
      </c>
      <c r="L466" t="inlineStr">
        <is>
          <t>Fijo</t>
        </is>
      </c>
      <c r="M466" t="inlineStr">
        <is>
          <t>Administración</t>
        </is>
      </c>
      <c r="N466" t="inlineStr">
        <is>
          <t>Campaña empleo</t>
        </is>
      </c>
    </row>
    <row r="467">
      <c r="A467" t="inlineStr">
        <is>
          <t>GAS-0466</t>
        </is>
      </c>
      <c r="B467" s="2" t="n">
        <v>45471</v>
      </c>
      <c r="C467" t="inlineStr">
        <is>
          <t>Marketing</t>
        </is>
      </c>
      <c r="D467" t="inlineStr">
        <is>
          <t>Ads prensa local</t>
        </is>
      </c>
      <c r="E467" t="inlineStr">
        <is>
          <t>Legal Iberia</t>
        </is>
      </c>
      <c r="F467" t="inlineStr">
        <is>
          <t>Mantenimiento web</t>
        </is>
      </c>
      <c r="G467" t="inlineStr">
        <is>
          <t>Proyecto puntual</t>
        </is>
      </c>
      <c r="H467" t="inlineStr">
        <is>
          <t>Ads prensa local para mantenimiento web</t>
        </is>
      </c>
      <c r="I467" s="5" t="n">
        <v>4293.77</v>
      </c>
      <c r="J467" s="3" t="n">
        <v>0</v>
      </c>
      <c r="K467" s="5">
        <f>ROUND(I467*(1+J467),2)</f>
        <v/>
      </c>
      <c r="L467" t="inlineStr">
        <is>
          <t>Variable</t>
        </is>
      </c>
      <c r="M467" t="inlineStr">
        <is>
          <t>Marketing</t>
        </is>
      </c>
      <c r="N467" t="inlineStr">
        <is>
          <t>Sección noticias</t>
        </is>
      </c>
    </row>
    <row r="468">
      <c r="A468" t="inlineStr">
        <is>
          <t>GAS-0467</t>
        </is>
      </c>
      <c r="B468" s="2" t="n">
        <v>45327</v>
      </c>
      <c r="C468" t="inlineStr">
        <is>
          <t>Operaciones</t>
        </is>
      </c>
      <c r="D468" t="inlineStr">
        <is>
          <t>Freelancers</t>
        </is>
      </c>
      <c r="E468" t="inlineStr">
        <is>
          <t>NoticiasPro</t>
        </is>
      </c>
      <c r="F468" t="inlineStr">
        <is>
          <t>Mantenimiento intranets</t>
        </is>
      </c>
      <c r="G468" t="inlineStr">
        <is>
          <t>Soporte anual</t>
        </is>
      </c>
      <c r="H468" t="inlineStr">
        <is>
          <t>Freelancers para mantenimiento intranets</t>
        </is>
      </c>
      <c r="I468" s="5" t="n">
        <v>2717.4</v>
      </c>
      <c r="J468" s="3" t="n">
        <v>0.1</v>
      </c>
      <c r="K468" s="5">
        <f>ROUND(I468*(1+J468),2)</f>
        <v/>
      </c>
      <c r="L468" t="inlineStr">
        <is>
          <t>Variable</t>
        </is>
      </c>
      <c r="M468" t="inlineStr">
        <is>
          <t>Administración</t>
        </is>
      </c>
      <c r="N468" t="inlineStr">
        <is>
          <t>Sección noticias</t>
        </is>
      </c>
    </row>
    <row r="469">
      <c r="A469" t="inlineStr">
        <is>
          <t>GAS-0468</t>
        </is>
      </c>
      <c r="B469" s="2" t="n">
        <v>45662</v>
      </c>
      <c r="C469" t="inlineStr">
        <is>
          <t>Personal</t>
        </is>
      </c>
      <c r="D469" t="inlineStr">
        <is>
          <t>Seguridad Social</t>
        </is>
      </c>
      <c r="E469" t="inlineStr">
        <is>
          <t>AdVision</t>
        </is>
      </c>
      <c r="F469" t="inlineStr">
        <is>
          <t>Mantenimiento web</t>
        </is>
      </c>
      <c r="G469" t="inlineStr">
        <is>
          <t>Retainer trimestral</t>
        </is>
      </c>
      <c r="H469" t="inlineStr">
        <is>
          <t>Seguridad Social para mantenimiento web</t>
        </is>
      </c>
      <c r="I469" s="5" t="n">
        <v>2012.97</v>
      </c>
      <c r="J469" s="3" t="n">
        <v>0</v>
      </c>
      <c r="K469" s="5">
        <f>ROUND(I469*(1+J469),2)</f>
        <v/>
      </c>
      <c r="L469" t="inlineStr">
        <is>
          <t>Fijo</t>
        </is>
      </c>
      <c r="M469" t="inlineStr">
        <is>
          <t>Operaciones</t>
        </is>
      </c>
      <c r="N469" t="inlineStr">
        <is>
          <t>Campaña empleo</t>
        </is>
      </c>
    </row>
    <row r="470">
      <c r="A470" t="inlineStr">
        <is>
          <t>GAS-0469</t>
        </is>
      </c>
      <c r="B470" s="2" t="n">
        <v>45580</v>
      </c>
      <c r="C470" t="inlineStr">
        <is>
          <t>Personal</t>
        </is>
      </c>
      <c r="D470" t="inlineStr">
        <is>
          <t>Salarios</t>
        </is>
      </c>
      <c r="E470" t="inlineStr">
        <is>
          <t>NominaPlus</t>
        </is>
      </c>
      <c r="F470" t="inlineStr">
        <is>
          <t>Mantenimiento web</t>
        </is>
      </c>
      <c r="G470" t="inlineStr">
        <is>
          <t>Suscripción mensual</t>
        </is>
      </c>
      <c r="H470" t="inlineStr">
        <is>
          <t>Salarios para mantenimiento web</t>
        </is>
      </c>
      <c r="I470" s="5" t="n">
        <v>7140.05</v>
      </c>
      <c r="J470" s="3" t="n">
        <v>0</v>
      </c>
      <c r="K470" s="5">
        <f>ROUND(I470*(1+J470),2)</f>
        <v/>
      </c>
      <c r="L470" t="inlineStr">
        <is>
          <t>Variable</t>
        </is>
      </c>
      <c r="M470" t="inlineStr">
        <is>
          <t>Administración</t>
        </is>
      </c>
      <c r="N470" t="inlineStr">
        <is>
          <t>Microsite RRHH</t>
        </is>
      </c>
    </row>
    <row r="471">
      <c r="A471" t="inlineStr">
        <is>
          <t>GAS-0470</t>
        </is>
      </c>
      <c r="B471" s="2" t="n">
        <v>45617</v>
      </c>
      <c r="C471" t="inlineStr">
        <is>
          <t>Personal</t>
        </is>
      </c>
      <c r="D471" t="inlineStr">
        <is>
          <t>Formación</t>
        </is>
      </c>
      <c r="E471" t="inlineStr">
        <is>
          <t>Legal Iberia</t>
        </is>
      </c>
      <c r="F471" t="inlineStr">
        <is>
          <t>Anuncios prensa</t>
        </is>
      </c>
      <c r="G471" t="inlineStr">
        <is>
          <t>Campaña</t>
        </is>
      </c>
      <c r="H471" t="inlineStr">
        <is>
          <t>Formación para anuncios prensa</t>
        </is>
      </c>
      <c r="I471" s="5" t="n">
        <v>4482.6</v>
      </c>
      <c r="J471" s="3" t="n">
        <v>0.21</v>
      </c>
      <c r="K471" s="5">
        <f>ROUND(I471*(1+J471),2)</f>
        <v/>
      </c>
      <c r="L471" t="inlineStr">
        <is>
          <t>Variable</t>
        </is>
      </c>
      <c r="M471" t="inlineStr">
        <is>
          <t>Administración</t>
        </is>
      </c>
      <c r="N471" t="inlineStr">
        <is>
          <t>Portal internacional</t>
        </is>
      </c>
    </row>
    <row r="472">
      <c r="A472" t="inlineStr">
        <is>
          <t>GAS-0471</t>
        </is>
      </c>
      <c r="B472" s="2" t="n">
        <v>45513</v>
      </c>
      <c r="C472" t="inlineStr">
        <is>
          <t>Personal</t>
        </is>
      </c>
      <c r="D472" t="inlineStr">
        <is>
          <t>Seguridad Social</t>
        </is>
      </c>
      <c r="E472" t="inlineStr">
        <is>
          <t>IntraSys</t>
        </is>
      </c>
      <c r="F472" t="inlineStr">
        <is>
          <t>Publicación de noticias</t>
        </is>
      </c>
      <c r="G472" t="inlineStr">
        <is>
          <t>Proyecto puntual</t>
        </is>
      </c>
      <c r="H472" t="inlineStr">
        <is>
          <t>Seguridad Social para publicación de noticias</t>
        </is>
      </c>
      <c r="I472" s="5" t="n">
        <v>8230.190000000001</v>
      </c>
      <c r="J472" s="3" t="n">
        <v>0</v>
      </c>
      <c r="K472" s="5">
        <f>ROUND(I472*(1+J472),2)</f>
        <v/>
      </c>
      <c r="L472" t="inlineStr">
        <is>
          <t>Variable</t>
        </is>
      </c>
      <c r="M472" t="inlineStr">
        <is>
          <t>Marketing</t>
        </is>
      </c>
      <c r="N472" t="inlineStr">
        <is>
          <t>Campaña empleo</t>
        </is>
      </c>
    </row>
    <row r="473">
      <c r="A473" t="inlineStr">
        <is>
          <t>GAS-0472</t>
        </is>
      </c>
      <c r="B473" s="2" t="n">
        <v>45490</v>
      </c>
      <c r="C473" t="inlineStr">
        <is>
          <t>Administración</t>
        </is>
      </c>
      <c r="D473" t="inlineStr">
        <is>
          <t>Telefonía</t>
        </is>
      </c>
      <c r="E473" t="inlineStr">
        <is>
          <t>Legal Iberia</t>
        </is>
      </c>
      <c r="F473" t="inlineStr">
        <is>
          <t>Anuncios RRHH</t>
        </is>
      </c>
      <c r="G473" t="inlineStr">
        <is>
          <t>Retainer trimestral</t>
        </is>
      </c>
      <c r="H473" t="inlineStr">
        <is>
          <t>Telefonía para anuncios rrhh</t>
        </is>
      </c>
      <c r="I473" s="5" t="n">
        <v>1637.86</v>
      </c>
      <c r="J473" s="3" t="n">
        <v>0.21</v>
      </c>
      <c r="K473" s="5">
        <f>ROUND(I473*(1+J473),2)</f>
        <v/>
      </c>
      <c r="L473" t="inlineStr">
        <is>
          <t>Variable</t>
        </is>
      </c>
      <c r="M473" t="inlineStr">
        <is>
          <t>Marketing</t>
        </is>
      </c>
      <c r="N473" t="inlineStr">
        <is>
          <t>Sección noticias</t>
        </is>
      </c>
    </row>
    <row r="474">
      <c r="A474" t="inlineStr">
        <is>
          <t>GAS-0473</t>
        </is>
      </c>
      <c r="B474" s="2" t="n">
        <v>45608</v>
      </c>
      <c r="C474" t="inlineStr">
        <is>
          <t>Marketing</t>
        </is>
      </c>
      <c r="D474" t="inlineStr">
        <is>
          <t>Ads Google</t>
        </is>
      </c>
      <c r="E474" t="inlineStr">
        <is>
          <t>AdVision</t>
        </is>
      </c>
      <c r="F474" t="inlineStr">
        <is>
          <t>Mantenimiento intranets</t>
        </is>
      </c>
      <c r="G474" t="inlineStr">
        <is>
          <t>Campaña</t>
        </is>
      </c>
      <c r="H474" t="inlineStr">
        <is>
          <t>Ads Google para mantenimiento intranets</t>
        </is>
      </c>
      <c r="I474" s="5" t="n">
        <v>2576.84</v>
      </c>
      <c r="J474" s="3" t="n">
        <v>0.1</v>
      </c>
      <c r="K474" s="5">
        <f>ROUND(I474*(1+J474),2)</f>
        <v/>
      </c>
      <c r="L474" t="inlineStr">
        <is>
          <t>Variable</t>
        </is>
      </c>
      <c r="M474" t="inlineStr">
        <is>
          <t>Tecnología</t>
        </is>
      </c>
      <c r="N474" t="inlineStr">
        <is>
          <t>Centro de prensa</t>
        </is>
      </c>
    </row>
    <row r="475">
      <c r="A475" t="inlineStr">
        <is>
          <t>GAS-0474</t>
        </is>
      </c>
      <c r="B475" s="2" t="n">
        <v>45611</v>
      </c>
      <c r="C475" t="inlineStr">
        <is>
          <t>Personal</t>
        </is>
      </c>
      <c r="D475" t="inlineStr">
        <is>
          <t>Salarios</t>
        </is>
      </c>
      <c r="E475" t="inlineStr">
        <is>
          <t>TVSpot Studio</t>
        </is>
      </c>
      <c r="F475" t="inlineStr">
        <is>
          <t>Anuncios internet</t>
        </is>
      </c>
      <c r="G475" t="inlineStr">
        <is>
          <t>Suscripción mensual</t>
        </is>
      </c>
      <c r="H475" t="inlineStr">
        <is>
          <t>Salarios para anuncios internet</t>
        </is>
      </c>
      <c r="I475" s="5" t="n">
        <v>1993.15</v>
      </c>
      <c r="J475" s="3" t="n">
        <v>0.21</v>
      </c>
      <c r="K475" s="5">
        <f>ROUND(I475*(1+J475),2)</f>
        <v/>
      </c>
      <c r="L475" t="inlineStr">
        <is>
          <t>Fijo</t>
        </is>
      </c>
      <c r="M475" t="inlineStr">
        <is>
          <t>Tecnología</t>
        </is>
      </c>
      <c r="N475" t="inlineStr">
        <is>
          <t>Sección noticias</t>
        </is>
      </c>
    </row>
    <row r="476">
      <c r="A476" t="inlineStr">
        <is>
          <t>GAS-0475</t>
        </is>
      </c>
      <c r="B476" s="2" t="n">
        <v>45431</v>
      </c>
      <c r="C476" t="inlineStr">
        <is>
          <t>Marketing</t>
        </is>
      </c>
      <c r="D476" t="inlineStr">
        <is>
          <t>Diseño creativo</t>
        </is>
      </c>
      <c r="E476" t="inlineStr">
        <is>
          <t>Redacción Global</t>
        </is>
      </c>
      <c r="F476" t="inlineStr">
        <is>
          <t>Anuncios prensa</t>
        </is>
      </c>
      <c r="G476" t="inlineStr">
        <is>
          <t>Soporte anual</t>
        </is>
      </c>
      <c r="H476" t="inlineStr">
        <is>
          <t>Diseño creativo para anuncios prensa</t>
        </is>
      </c>
      <c r="I476" s="5" t="n">
        <v>8419.440000000001</v>
      </c>
      <c r="J476" s="3" t="n">
        <v>0.21</v>
      </c>
      <c r="K476" s="5">
        <f>ROUND(I476*(1+J476),2)</f>
        <v/>
      </c>
      <c r="L476" t="inlineStr">
        <is>
          <t>Variable</t>
        </is>
      </c>
      <c r="M476" t="inlineStr">
        <is>
          <t>Administración</t>
        </is>
      </c>
      <c r="N476" t="inlineStr">
        <is>
          <t>Campaña empleo</t>
        </is>
      </c>
    </row>
    <row r="477">
      <c r="A477" t="inlineStr">
        <is>
          <t>GAS-0476</t>
        </is>
      </c>
      <c r="B477" s="2" t="n">
        <v>45682</v>
      </c>
      <c r="C477" t="inlineStr">
        <is>
          <t>Personal</t>
        </is>
      </c>
      <c r="D477" t="inlineStr">
        <is>
          <t>Seguridad Social</t>
        </is>
      </c>
      <c r="E477" t="inlineStr">
        <is>
          <t>CloudPulse</t>
        </is>
      </c>
      <c r="F477" t="inlineStr">
        <is>
          <t>Anuncios internet</t>
        </is>
      </c>
      <c r="G477" t="inlineStr">
        <is>
          <t>Soporte anual</t>
        </is>
      </c>
      <c r="H477" t="inlineStr">
        <is>
          <t>Seguridad Social para anuncios internet</t>
        </is>
      </c>
      <c r="I477" s="5" t="n">
        <v>2993.6</v>
      </c>
      <c r="J477" s="3" t="n">
        <v>0</v>
      </c>
      <c r="K477" s="5">
        <f>ROUND(I477*(1+J477),2)</f>
        <v/>
      </c>
      <c r="L477" t="inlineStr">
        <is>
          <t>Fijo</t>
        </is>
      </c>
      <c r="M477" t="inlineStr">
        <is>
          <t>Operaciones</t>
        </is>
      </c>
      <c r="N477" t="inlineStr">
        <is>
          <t>Intranet comercial</t>
        </is>
      </c>
    </row>
    <row r="478">
      <c r="A478" t="inlineStr">
        <is>
          <t>GAS-0477</t>
        </is>
      </c>
      <c r="B478" s="2" t="n">
        <v>45401</v>
      </c>
      <c r="C478" t="inlineStr">
        <is>
          <t>Personal</t>
        </is>
      </c>
      <c r="D478" t="inlineStr">
        <is>
          <t>Salarios</t>
        </is>
      </c>
      <c r="E478" t="inlineStr">
        <is>
          <t>IntraSys</t>
        </is>
      </c>
      <c r="F478" t="inlineStr">
        <is>
          <t>Anuncios RRHH</t>
        </is>
      </c>
      <c r="G478" t="inlineStr">
        <is>
          <t>Suscripción mensual</t>
        </is>
      </c>
      <c r="H478" t="inlineStr">
        <is>
          <t>Salarios para anuncios rrhh</t>
        </is>
      </c>
      <c r="I478" s="5" t="n">
        <v>7423.99</v>
      </c>
      <c r="J478" s="3" t="n">
        <v>0.21</v>
      </c>
      <c r="K478" s="5">
        <f>ROUND(I478*(1+J478),2)</f>
        <v/>
      </c>
      <c r="L478" t="inlineStr">
        <is>
          <t>Variable</t>
        </is>
      </c>
      <c r="M478" t="inlineStr">
        <is>
          <t>Administración</t>
        </is>
      </c>
      <c r="N478" t="inlineStr">
        <is>
          <t>Intranet operaciones</t>
        </is>
      </c>
    </row>
    <row r="479">
      <c r="A479" t="inlineStr">
        <is>
          <t>GAS-0478</t>
        </is>
      </c>
      <c r="B479" s="2" t="n">
        <v>45352</v>
      </c>
      <c r="C479" t="inlineStr">
        <is>
          <t>Tecnología</t>
        </is>
      </c>
      <c r="D479" t="inlineStr">
        <is>
          <t>Licencias CMS</t>
        </is>
      </c>
      <c r="E479" t="inlineStr">
        <is>
          <t>NominaPlus</t>
        </is>
      </c>
      <c r="F479" t="inlineStr">
        <is>
          <t>Generación de noticias</t>
        </is>
      </c>
      <c r="G479" t="inlineStr">
        <is>
          <t>Soporte anual</t>
        </is>
      </c>
      <c r="H479" t="inlineStr">
        <is>
          <t>Licencias CMS para generación de noticias</t>
        </is>
      </c>
      <c r="I479" s="5" t="n">
        <v>1941.42</v>
      </c>
      <c r="J479" s="3" t="n">
        <v>0.21</v>
      </c>
      <c r="K479" s="5">
        <f>ROUND(I479*(1+J479),2)</f>
        <v/>
      </c>
      <c r="L479" t="inlineStr">
        <is>
          <t>Fijo</t>
        </is>
      </c>
      <c r="M479" t="inlineStr">
        <is>
          <t>Administración</t>
        </is>
      </c>
      <c r="N479" t="inlineStr">
        <is>
          <t>Intranet operaciones</t>
        </is>
      </c>
    </row>
    <row r="480">
      <c r="A480" t="inlineStr">
        <is>
          <t>GAS-0479</t>
        </is>
      </c>
      <c r="B480" s="2" t="n">
        <v>45361</v>
      </c>
      <c r="C480" t="inlineStr">
        <is>
          <t>Marketing</t>
        </is>
      </c>
      <c r="D480" t="inlineStr">
        <is>
          <t>Ads prensa local</t>
        </is>
      </c>
      <c r="E480" t="inlineStr">
        <is>
          <t>TVSpot Studio</t>
        </is>
      </c>
      <c r="F480" t="inlineStr">
        <is>
          <t>Mantenimiento intranets</t>
        </is>
      </c>
      <c r="G480" t="inlineStr">
        <is>
          <t>Campaña</t>
        </is>
      </c>
      <c r="H480" t="inlineStr">
        <is>
          <t>Ads prensa local para mantenimiento intranets</t>
        </is>
      </c>
      <c r="I480" s="5" t="n">
        <v>2015.76</v>
      </c>
      <c r="J480" s="3" t="n">
        <v>0.21</v>
      </c>
      <c r="K480" s="5">
        <f>ROUND(I480*(1+J480),2)</f>
        <v/>
      </c>
      <c r="L480" t="inlineStr">
        <is>
          <t>Variable</t>
        </is>
      </c>
      <c r="M480" t="inlineStr">
        <is>
          <t>Comercial</t>
        </is>
      </c>
      <c r="N480" t="inlineStr">
        <is>
          <t>Portal corporativo</t>
        </is>
      </c>
    </row>
    <row r="481">
      <c r="A481" t="inlineStr">
        <is>
          <t>GAS-0480</t>
        </is>
      </c>
      <c r="B481" s="2" t="n">
        <v>45582</v>
      </c>
      <c r="C481" t="inlineStr">
        <is>
          <t>Tecnología</t>
        </is>
      </c>
      <c r="D481" t="inlineStr">
        <is>
          <t>Herramientas SEO</t>
        </is>
      </c>
      <c r="E481" t="inlineStr">
        <is>
          <t>AdVision</t>
        </is>
      </c>
      <c r="F481" t="inlineStr">
        <is>
          <t>Anuncios internet</t>
        </is>
      </c>
      <c r="G481" t="inlineStr">
        <is>
          <t>Retainer trimestral</t>
        </is>
      </c>
      <c r="H481" t="inlineStr">
        <is>
          <t>Herramientas SEO para anuncios internet</t>
        </is>
      </c>
      <c r="I481" s="5" t="n">
        <v>501.85</v>
      </c>
      <c r="J481" s="3" t="n">
        <v>0</v>
      </c>
      <c r="K481" s="5">
        <f>ROUND(I481*(1+J481),2)</f>
        <v/>
      </c>
      <c r="L481" t="inlineStr">
        <is>
          <t>Variable</t>
        </is>
      </c>
      <c r="M481" t="inlineStr">
        <is>
          <t>Operaciones</t>
        </is>
      </c>
      <c r="N481" t="inlineStr">
        <is>
          <t>Sección noticias</t>
        </is>
      </c>
    </row>
    <row r="482">
      <c r="A482" t="inlineStr">
        <is>
          <t>GAS-0481</t>
        </is>
      </c>
      <c r="B482" s="2" t="n">
        <v>45616</v>
      </c>
      <c r="C482" t="inlineStr">
        <is>
          <t>Personal</t>
        </is>
      </c>
      <c r="D482" t="inlineStr">
        <is>
          <t>Seguridad Social</t>
        </is>
      </c>
      <c r="E482" t="inlineStr">
        <is>
          <t>AdVision</t>
        </is>
      </c>
      <c r="F482" t="inlineStr">
        <is>
          <t>Anuncios prensa</t>
        </is>
      </c>
      <c r="G482" t="inlineStr">
        <is>
          <t>Retainer trimestral</t>
        </is>
      </c>
      <c r="H482" t="inlineStr">
        <is>
          <t>Seguridad Social para anuncios prensa</t>
        </is>
      </c>
      <c r="I482" s="5" t="n">
        <v>7892.38</v>
      </c>
      <c r="J482" s="3" t="n">
        <v>0</v>
      </c>
      <c r="K482" s="5">
        <f>ROUND(I482*(1+J482),2)</f>
        <v/>
      </c>
      <c r="L482" t="inlineStr">
        <is>
          <t>Variable</t>
        </is>
      </c>
      <c r="M482" t="inlineStr">
        <is>
          <t>Administración</t>
        </is>
      </c>
      <c r="N482" t="inlineStr">
        <is>
          <t>Intranet operaciones</t>
        </is>
      </c>
    </row>
    <row r="483">
      <c r="A483" t="inlineStr">
        <is>
          <t>GAS-0482</t>
        </is>
      </c>
      <c r="B483" s="2" t="n">
        <v>45304</v>
      </c>
      <c r="C483" t="inlineStr">
        <is>
          <t>Personal</t>
        </is>
      </c>
      <c r="D483" t="inlineStr">
        <is>
          <t>Formación</t>
        </is>
      </c>
      <c r="E483" t="inlineStr">
        <is>
          <t>Legal Iberia</t>
        </is>
      </c>
      <c r="F483" t="inlineStr">
        <is>
          <t>Anuncios prensa</t>
        </is>
      </c>
      <c r="G483" t="inlineStr">
        <is>
          <t>Retainer trimestral</t>
        </is>
      </c>
      <c r="H483" t="inlineStr">
        <is>
          <t>Formación para anuncios prensa</t>
        </is>
      </c>
      <c r="I483" s="5" t="n">
        <v>8439.42</v>
      </c>
      <c r="J483" s="3" t="n">
        <v>0.21</v>
      </c>
      <c r="K483" s="5">
        <f>ROUND(I483*(1+J483),2)</f>
        <v/>
      </c>
      <c r="L483" t="inlineStr">
        <is>
          <t>Fijo</t>
        </is>
      </c>
      <c r="M483" t="inlineStr">
        <is>
          <t>Comercial</t>
        </is>
      </c>
      <c r="N483" t="inlineStr">
        <is>
          <t>Centro de prensa</t>
        </is>
      </c>
    </row>
    <row r="484">
      <c r="A484" t="inlineStr">
        <is>
          <t>GAS-0483</t>
        </is>
      </c>
      <c r="B484" s="2" t="n">
        <v>45574</v>
      </c>
      <c r="C484" t="inlineStr">
        <is>
          <t>Personal</t>
        </is>
      </c>
      <c r="D484" t="inlineStr">
        <is>
          <t>Seguridad Social</t>
        </is>
      </c>
      <c r="E484" t="inlineStr">
        <is>
          <t>Acme Hosting</t>
        </is>
      </c>
      <c r="F484" t="inlineStr">
        <is>
          <t>Anuncios RRHH</t>
        </is>
      </c>
      <c r="G484" t="inlineStr">
        <is>
          <t>Proyecto puntual</t>
        </is>
      </c>
      <c r="H484" t="inlineStr">
        <is>
          <t>Seguridad Social para anuncios rrhh</t>
        </is>
      </c>
      <c r="I484" s="5" t="n">
        <v>1495.33</v>
      </c>
      <c r="J484" s="3" t="n">
        <v>0.1</v>
      </c>
      <c r="K484" s="5">
        <f>ROUND(I484*(1+J484),2)</f>
        <v/>
      </c>
      <c r="L484" t="inlineStr">
        <is>
          <t>Fijo</t>
        </is>
      </c>
      <c r="M484" t="inlineStr">
        <is>
          <t>Administración</t>
        </is>
      </c>
      <c r="N484" t="inlineStr">
        <is>
          <t>Portal corporativo</t>
        </is>
      </c>
    </row>
    <row r="485">
      <c r="A485" t="inlineStr">
        <is>
          <t>GAS-0484</t>
        </is>
      </c>
      <c r="B485" s="2" t="n">
        <v>45703</v>
      </c>
      <c r="C485" t="inlineStr">
        <is>
          <t>Personal</t>
        </is>
      </c>
      <c r="D485" t="inlineStr">
        <is>
          <t>Salarios</t>
        </is>
      </c>
      <c r="E485" t="inlineStr">
        <is>
          <t>NominaPlus</t>
        </is>
      </c>
      <c r="F485" t="inlineStr">
        <is>
          <t>Anuncios internet</t>
        </is>
      </c>
      <c r="G485" t="inlineStr">
        <is>
          <t>Campaña</t>
        </is>
      </c>
      <c r="H485" t="inlineStr">
        <is>
          <t>Salarios para anuncios internet</t>
        </is>
      </c>
      <c r="I485" s="5" t="n">
        <v>3974.12</v>
      </c>
      <c r="J485" s="3" t="n">
        <v>0.21</v>
      </c>
      <c r="K485" s="5">
        <f>ROUND(I485*(1+J485),2)</f>
        <v/>
      </c>
      <c r="L485" t="inlineStr">
        <is>
          <t>Variable</t>
        </is>
      </c>
      <c r="M485" t="inlineStr">
        <is>
          <t>Comercial</t>
        </is>
      </c>
      <c r="N485" t="inlineStr">
        <is>
          <t>Portal internacional</t>
        </is>
      </c>
    </row>
    <row r="486">
      <c r="A486" t="inlineStr">
        <is>
          <t>GAS-0485</t>
        </is>
      </c>
      <c r="B486" s="2" t="n">
        <v>45633</v>
      </c>
      <c r="C486" t="inlineStr">
        <is>
          <t>Marketing</t>
        </is>
      </c>
      <c r="D486" t="inlineStr">
        <is>
          <t>Diseño creativo</t>
        </is>
      </c>
      <c r="E486" t="inlineStr">
        <is>
          <t>AdVision</t>
        </is>
      </c>
      <c r="F486" t="inlineStr">
        <is>
          <t>Mantenimiento intranets</t>
        </is>
      </c>
      <c r="G486" t="inlineStr">
        <is>
          <t>Soporte anual</t>
        </is>
      </c>
      <c r="H486" t="inlineStr">
        <is>
          <t>Diseño creativo para mantenimiento intranets</t>
        </is>
      </c>
      <c r="I486" s="5" t="n">
        <v>10986.28</v>
      </c>
      <c r="J486" s="3" t="n">
        <v>0</v>
      </c>
      <c r="K486" s="5">
        <f>ROUND(I486*(1+J486),2)</f>
        <v/>
      </c>
      <c r="L486" t="inlineStr">
        <is>
          <t>Fijo</t>
        </is>
      </c>
      <c r="M486" t="inlineStr">
        <is>
          <t>Comercial</t>
        </is>
      </c>
      <c r="N486" t="inlineStr">
        <is>
          <t>Intranet comercial</t>
        </is>
      </c>
    </row>
    <row r="487">
      <c r="A487" t="inlineStr">
        <is>
          <t>GAS-0486</t>
        </is>
      </c>
      <c r="B487" s="2" t="n">
        <v>45662</v>
      </c>
      <c r="C487" t="inlineStr">
        <is>
          <t>Personal</t>
        </is>
      </c>
      <c r="D487" t="inlineStr">
        <is>
          <t>Salarios</t>
        </is>
      </c>
      <c r="E487" t="inlineStr">
        <is>
          <t>Acme Hosting</t>
        </is>
      </c>
      <c r="F487" t="inlineStr">
        <is>
          <t>Anuncios RRHH</t>
        </is>
      </c>
      <c r="G487" t="inlineStr">
        <is>
          <t>Retainer trimestral</t>
        </is>
      </c>
      <c r="H487" t="inlineStr">
        <is>
          <t>Salarios para anuncios rrhh</t>
        </is>
      </c>
      <c r="I487" s="5" t="n">
        <v>1674.2</v>
      </c>
      <c r="J487" s="3" t="n">
        <v>0.1</v>
      </c>
      <c r="K487" s="5">
        <f>ROUND(I487*(1+J487),2)</f>
        <v/>
      </c>
      <c r="L487" t="inlineStr">
        <is>
          <t>Fijo</t>
        </is>
      </c>
      <c r="M487" t="inlineStr">
        <is>
          <t>Comercial</t>
        </is>
      </c>
      <c r="N487" t="inlineStr">
        <is>
          <t>Intranet operaciones</t>
        </is>
      </c>
    </row>
    <row r="488">
      <c r="A488" t="inlineStr">
        <is>
          <t>GAS-0487</t>
        </is>
      </c>
      <c r="B488" s="2" t="n">
        <v>45387</v>
      </c>
      <c r="C488" t="inlineStr">
        <is>
          <t>Marketing</t>
        </is>
      </c>
      <c r="D488" t="inlineStr">
        <is>
          <t>Ads prensa local</t>
        </is>
      </c>
      <c r="E488" t="inlineStr">
        <is>
          <t>LinguaTech</t>
        </is>
      </c>
      <c r="F488" t="inlineStr">
        <is>
          <t>Traducciones</t>
        </is>
      </c>
      <c r="G488" t="inlineStr">
        <is>
          <t>Suscripción mensual</t>
        </is>
      </c>
      <c r="H488" t="inlineStr">
        <is>
          <t>Ads prensa local para traducciones</t>
        </is>
      </c>
      <c r="I488" s="5" t="n">
        <v>1922.96</v>
      </c>
      <c r="J488" s="3" t="n">
        <v>0</v>
      </c>
      <c r="K488" s="5">
        <f>ROUND(I488*(1+J488),2)</f>
        <v/>
      </c>
      <c r="L488" t="inlineStr">
        <is>
          <t>Variable</t>
        </is>
      </c>
      <c r="M488" t="inlineStr">
        <is>
          <t>Comercial</t>
        </is>
      </c>
      <c r="N488" t="inlineStr">
        <is>
          <t>Campaña empleo</t>
        </is>
      </c>
    </row>
    <row r="489">
      <c r="A489" t="inlineStr">
        <is>
          <t>GAS-0488</t>
        </is>
      </c>
      <c r="B489" s="2" t="n">
        <v>45601</v>
      </c>
      <c r="C489" t="inlineStr">
        <is>
          <t>Personal</t>
        </is>
      </c>
      <c r="D489" t="inlineStr">
        <is>
          <t>Salarios</t>
        </is>
      </c>
      <c r="E489" t="inlineStr">
        <is>
          <t>Redacción Global</t>
        </is>
      </c>
      <c r="F489" t="inlineStr">
        <is>
          <t>Anuncios prensa</t>
        </is>
      </c>
      <c r="G489" t="inlineStr">
        <is>
          <t>Proyecto puntual</t>
        </is>
      </c>
      <c r="H489" t="inlineStr">
        <is>
          <t>Salarios para anuncios prensa</t>
        </is>
      </c>
      <c r="I489" s="5" t="n">
        <v>3538.96</v>
      </c>
      <c r="J489" s="3" t="n">
        <v>0.21</v>
      </c>
      <c r="K489" s="5">
        <f>ROUND(I489*(1+J489),2)</f>
        <v/>
      </c>
      <c r="L489" t="inlineStr">
        <is>
          <t>Variable</t>
        </is>
      </c>
      <c r="M489" t="inlineStr">
        <is>
          <t>Administración</t>
        </is>
      </c>
      <c r="N489" t="inlineStr">
        <is>
          <t>Portal corporativo</t>
        </is>
      </c>
    </row>
    <row r="490">
      <c r="A490" t="inlineStr">
        <is>
          <t>GAS-0489</t>
        </is>
      </c>
      <c r="B490" s="2" t="n">
        <v>45388</v>
      </c>
      <c r="C490" t="inlineStr">
        <is>
          <t>Tecnología</t>
        </is>
      </c>
      <c r="D490" t="inlineStr">
        <is>
          <t>Monitorización</t>
        </is>
      </c>
      <c r="E490" t="inlineStr">
        <is>
          <t>Redacción Global</t>
        </is>
      </c>
      <c r="F490" t="inlineStr">
        <is>
          <t>Mantenimiento web</t>
        </is>
      </c>
      <c r="G490" t="inlineStr">
        <is>
          <t>Suscripción mensual</t>
        </is>
      </c>
      <c r="H490" t="inlineStr">
        <is>
          <t>Monitorización para mantenimiento web</t>
        </is>
      </c>
      <c r="I490" s="5" t="n">
        <v>2340.12</v>
      </c>
      <c r="J490" s="3" t="n">
        <v>0</v>
      </c>
      <c r="K490" s="5">
        <f>ROUND(I490*(1+J490),2)</f>
        <v/>
      </c>
      <c r="L490" t="inlineStr">
        <is>
          <t>Fijo</t>
        </is>
      </c>
      <c r="M490" t="inlineStr">
        <is>
          <t>Comercial</t>
        </is>
      </c>
      <c r="N490" t="inlineStr">
        <is>
          <t>Portal internacional</t>
        </is>
      </c>
    </row>
    <row r="491">
      <c r="A491" t="inlineStr">
        <is>
          <t>GAS-0490</t>
        </is>
      </c>
      <c r="B491" s="2" t="n">
        <v>45403</v>
      </c>
      <c r="C491" t="inlineStr">
        <is>
          <t>Marketing</t>
        </is>
      </c>
      <c r="D491" t="inlineStr">
        <is>
          <t>Ads Google</t>
        </is>
      </c>
      <c r="E491" t="inlineStr">
        <is>
          <t>TVSpot Studio</t>
        </is>
      </c>
      <c r="F491" t="inlineStr">
        <is>
          <t>Publicación de noticias</t>
        </is>
      </c>
      <c r="G491" t="inlineStr">
        <is>
          <t>Retainer trimestral</t>
        </is>
      </c>
      <c r="H491" t="inlineStr">
        <is>
          <t>Ads Google para publicación de noticias</t>
        </is>
      </c>
      <c r="I491" s="5" t="n">
        <v>3771.62</v>
      </c>
      <c r="J491" s="3" t="n">
        <v>0.21</v>
      </c>
      <c r="K491" s="5">
        <f>ROUND(I491*(1+J491),2)</f>
        <v/>
      </c>
      <c r="L491" t="inlineStr">
        <is>
          <t>Fijo</t>
        </is>
      </c>
      <c r="M491" t="inlineStr">
        <is>
          <t>Administración</t>
        </is>
      </c>
      <c r="N491" t="inlineStr">
        <is>
          <t>Portal corporativo</t>
        </is>
      </c>
    </row>
    <row r="492">
      <c r="A492" t="inlineStr">
        <is>
          <t>GAS-0491</t>
        </is>
      </c>
      <c r="B492" s="2" t="n">
        <v>45609</v>
      </c>
      <c r="C492" t="inlineStr">
        <is>
          <t>Marketing</t>
        </is>
      </c>
      <c r="D492" t="inlineStr">
        <is>
          <t>Ads prensa local</t>
        </is>
      </c>
      <c r="E492" t="inlineStr">
        <is>
          <t>TVSpot Studio</t>
        </is>
      </c>
      <c r="F492" t="inlineStr">
        <is>
          <t>Generación de noticias</t>
        </is>
      </c>
      <c r="G492" t="inlineStr">
        <is>
          <t>Suscripción mensual</t>
        </is>
      </c>
      <c r="H492" t="inlineStr">
        <is>
          <t>Ads prensa local para generación de noticias</t>
        </is>
      </c>
      <c r="I492" s="5" t="n">
        <v>1034.56</v>
      </c>
      <c r="J492" s="3" t="n">
        <v>0.21</v>
      </c>
      <c r="K492" s="5">
        <f>ROUND(I492*(1+J492),2)</f>
        <v/>
      </c>
      <c r="L492" t="inlineStr">
        <is>
          <t>Fijo</t>
        </is>
      </c>
      <c r="M492" t="inlineStr">
        <is>
          <t>Operaciones</t>
        </is>
      </c>
      <c r="N492" t="inlineStr">
        <is>
          <t>Portal internacional</t>
        </is>
      </c>
    </row>
    <row r="493">
      <c r="A493" t="inlineStr">
        <is>
          <t>GAS-0492</t>
        </is>
      </c>
      <c r="B493" s="2" t="n">
        <v>45481</v>
      </c>
      <c r="C493" t="inlineStr">
        <is>
          <t>Tecnología</t>
        </is>
      </c>
      <c r="D493" t="inlineStr">
        <is>
          <t>Herramientas SEO</t>
        </is>
      </c>
      <c r="E493" t="inlineStr">
        <is>
          <t>Legal Iberia</t>
        </is>
      </c>
      <c r="F493" t="inlineStr">
        <is>
          <t>Traducciones</t>
        </is>
      </c>
      <c r="G493" t="inlineStr">
        <is>
          <t>Retainer trimestral</t>
        </is>
      </c>
      <c r="H493" t="inlineStr">
        <is>
          <t>Herramientas SEO para traducciones</t>
        </is>
      </c>
      <c r="I493" s="5" t="n">
        <v>1766.99</v>
      </c>
      <c r="J493" s="3" t="n">
        <v>0.21</v>
      </c>
      <c r="K493" s="5">
        <f>ROUND(I493*(1+J493),2)</f>
        <v/>
      </c>
      <c r="L493" t="inlineStr">
        <is>
          <t>Variable</t>
        </is>
      </c>
      <c r="M493" t="inlineStr">
        <is>
          <t>Administración</t>
        </is>
      </c>
      <c r="N493" t="inlineStr">
        <is>
          <t>Campaña empleo</t>
        </is>
      </c>
    </row>
    <row r="494">
      <c r="A494" t="inlineStr">
        <is>
          <t>GAS-0493</t>
        </is>
      </c>
      <c r="B494" s="2" t="n">
        <v>45498</v>
      </c>
      <c r="C494" t="inlineStr">
        <is>
          <t>Personal</t>
        </is>
      </c>
      <c r="D494" t="inlineStr">
        <is>
          <t>Salarios</t>
        </is>
      </c>
      <c r="E494" t="inlineStr">
        <is>
          <t>Legal Iberia</t>
        </is>
      </c>
      <c r="F494" t="inlineStr">
        <is>
          <t>Mantenimiento web</t>
        </is>
      </c>
      <c r="G494" t="inlineStr">
        <is>
          <t>Campaña</t>
        </is>
      </c>
      <c r="H494" t="inlineStr">
        <is>
          <t>Salarios para mantenimiento web</t>
        </is>
      </c>
      <c r="I494" s="5" t="n">
        <v>6243.31</v>
      </c>
      <c r="J494" s="3" t="n">
        <v>0.21</v>
      </c>
      <c r="K494" s="5">
        <f>ROUND(I494*(1+J494),2)</f>
        <v/>
      </c>
      <c r="L494" t="inlineStr">
        <is>
          <t>Fijo</t>
        </is>
      </c>
      <c r="M494" t="inlineStr">
        <is>
          <t>Comercial</t>
        </is>
      </c>
      <c r="N494" t="inlineStr">
        <is>
          <t>Microsite RRHH</t>
        </is>
      </c>
    </row>
    <row r="495">
      <c r="A495" t="inlineStr">
        <is>
          <t>GAS-0494</t>
        </is>
      </c>
      <c r="B495" s="2" t="n">
        <v>45514</v>
      </c>
      <c r="C495" t="inlineStr">
        <is>
          <t>Tecnología</t>
        </is>
      </c>
      <c r="D495" t="inlineStr">
        <is>
          <t>Hosting</t>
        </is>
      </c>
      <c r="E495" t="inlineStr">
        <is>
          <t>SEO Metrics</t>
        </is>
      </c>
      <c r="F495" t="inlineStr">
        <is>
          <t>Publicación de noticias</t>
        </is>
      </c>
      <c r="G495" t="inlineStr">
        <is>
          <t>Proyecto puntual</t>
        </is>
      </c>
      <c r="H495" t="inlineStr">
        <is>
          <t>Hosting para publicación de noticias</t>
        </is>
      </c>
      <c r="I495" s="5" t="n">
        <v>964.98</v>
      </c>
      <c r="J495" s="3" t="n">
        <v>0.21</v>
      </c>
      <c r="K495" s="5">
        <f>ROUND(I495*(1+J495),2)</f>
        <v/>
      </c>
      <c r="L495" t="inlineStr">
        <is>
          <t>Fijo</t>
        </is>
      </c>
      <c r="M495" t="inlineStr">
        <is>
          <t>Comercial</t>
        </is>
      </c>
      <c r="N495" t="inlineStr">
        <is>
          <t>Intranet comercial</t>
        </is>
      </c>
    </row>
    <row r="496">
      <c r="A496" t="inlineStr">
        <is>
          <t>GAS-0495</t>
        </is>
      </c>
      <c r="B496" s="2" t="n">
        <v>45729</v>
      </c>
      <c r="C496" t="inlineStr">
        <is>
          <t>Personal</t>
        </is>
      </c>
      <c r="D496" t="inlineStr">
        <is>
          <t>Seguridad Social</t>
        </is>
      </c>
      <c r="E496" t="inlineStr">
        <is>
          <t>NominaPlus</t>
        </is>
      </c>
      <c r="F496" t="inlineStr">
        <is>
          <t>Publicación de noticias</t>
        </is>
      </c>
      <c r="G496" t="inlineStr">
        <is>
          <t>Retainer trimestral</t>
        </is>
      </c>
      <c r="H496" t="inlineStr">
        <is>
          <t>Seguridad Social para publicación de noticias</t>
        </is>
      </c>
      <c r="I496" s="5" t="n">
        <v>3177.5</v>
      </c>
      <c r="J496" s="3" t="n">
        <v>0.21</v>
      </c>
      <c r="K496" s="5">
        <f>ROUND(I496*(1+J496),2)</f>
        <v/>
      </c>
      <c r="L496" t="inlineStr">
        <is>
          <t>Fijo</t>
        </is>
      </c>
      <c r="M496" t="inlineStr">
        <is>
          <t>Marketing</t>
        </is>
      </c>
      <c r="N496" t="inlineStr">
        <is>
          <t>Intranet operaciones</t>
        </is>
      </c>
    </row>
    <row r="497">
      <c r="A497" t="inlineStr">
        <is>
          <t>GAS-0496</t>
        </is>
      </c>
      <c r="B497" s="2" t="n">
        <v>45536</v>
      </c>
      <c r="C497" t="inlineStr">
        <is>
          <t>Tecnología</t>
        </is>
      </c>
      <c r="D497" t="inlineStr">
        <is>
          <t>Licencias CMS</t>
        </is>
      </c>
      <c r="E497" t="inlineStr">
        <is>
          <t>CloudPulse</t>
        </is>
      </c>
      <c r="F497" t="inlineStr">
        <is>
          <t>Anuncios internet</t>
        </is>
      </c>
      <c r="G497" t="inlineStr">
        <is>
          <t>Retainer trimestral</t>
        </is>
      </c>
      <c r="H497" t="inlineStr">
        <is>
          <t>Licencias CMS para anuncios internet</t>
        </is>
      </c>
      <c r="I497" s="5" t="n">
        <v>218.64</v>
      </c>
      <c r="J497" s="3" t="n">
        <v>0.21</v>
      </c>
      <c r="K497" s="5">
        <f>ROUND(I497*(1+J497),2)</f>
        <v/>
      </c>
      <c r="L497" t="inlineStr">
        <is>
          <t>Fijo</t>
        </is>
      </c>
      <c r="M497" t="inlineStr">
        <is>
          <t>Administración</t>
        </is>
      </c>
      <c r="N497" t="inlineStr">
        <is>
          <t>Intranet operaciones</t>
        </is>
      </c>
    </row>
    <row r="498">
      <c r="A498" t="inlineStr">
        <is>
          <t>GAS-0497</t>
        </is>
      </c>
      <c r="B498" s="2" t="n">
        <v>45511</v>
      </c>
      <c r="C498" t="inlineStr">
        <is>
          <t>Operaciones</t>
        </is>
      </c>
      <c r="D498" t="inlineStr">
        <is>
          <t>QA intranet</t>
        </is>
      </c>
      <c r="E498" t="inlineStr">
        <is>
          <t>CloudPulse</t>
        </is>
      </c>
      <c r="F498" t="inlineStr">
        <is>
          <t>Anuncios internet</t>
        </is>
      </c>
      <c r="G498" t="inlineStr">
        <is>
          <t>Suscripción mensual</t>
        </is>
      </c>
      <c r="H498" t="inlineStr">
        <is>
          <t>QA intranet para anuncios internet</t>
        </is>
      </c>
      <c r="I498" s="5" t="n">
        <v>3838.19</v>
      </c>
      <c r="J498" s="3" t="n">
        <v>0.1</v>
      </c>
      <c r="K498" s="5">
        <f>ROUND(I498*(1+J498),2)</f>
        <v/>
      </c>
      <c r="L498" t="inlineStr">
        <is>
          <t>Fijo</t>
        </is>
      </c>
      <c r="M498" t="inlineStr">
        <is>
          <t>Administración</t>
        </is>
      </c>
      <c r="N498" t="inlineStr">
        <is>
          <t>Centro de prensa</t>
        </is>
      </c>
    </row>
    <row r="499">
      <c r="A499" t="inlineStr">
        <is>
          <t>GAS-0498</t>
        </is>
      </c>
      <c r="B499" s="2" t="n">
        <v>45399</v>
      </c>
      <c r="C499" t="inlineStr">
        <is>
          <t>Personal</t>
        </is>
      </c>
      <c r="D499" t="inlineStr">
        <is>
          <t>Seguridad Social</t>
        </is>
      </c>
      <c r="E499" t="inlineStr">
        <is>
          <t>AdVision</t>
        </is>
      </c>
      <c r="F499" t="inlineStr">
        <is>
          <t>Publicación de noticias</t>
        </is>
      </c>
      <c r="G499" t="inlineStr">
        <is>
          <t>Proyecto puntual</t>
        </is>
      </c>
      <c r="H499" t="inlineStr">
        <is>
          <t>Seguridad Social para publicación de noticias</t>
        </is>
      </c>
      <c r="I499" s="5" t="n">
        <v>3897.84</v>
      </c>
      <c r="J499" s="3" t="n">
        <v>0.21</v>
      </c>
      <c r="K499" s="5">
        <f>ROUND(I499*(1+J499),2)</f>
        <v/>
      </c>
      <c r="L499" t="inlineStr">
        <is>
          <t>Variable</t>
        </is>
      </c>
      <c r="M499" t="inlineStr">
        <is>
          <t>Tecnología</t>
        </is>
      </c>
      <c r="N499" t="inlineStr">
        <is>
          <t>Portal internacional</t>
        </is>
      </c>
    </row>
    <row r="500">
      <c r="A500" t="inlineStr">
        <is>
          <t>GAS-0499</t>
        </is>
      </c>
      <c r="B500" s="2" t="n">
        <v>45654</v>
      </c>
      <c r="C500" t="inlineStr">
        <is>
          <t>Tecnología</t>
        </is>
      </c>
      <c r="D500" t="inlineStr">
        <is>
          <t>Herramientas SEO</t>
        </is>
      </c>
      <c r="E500" t="inlineStr">
        <is>
          <t>CloudPulse</t>
        </is>
      </c>
      <c r="F500" t="inlineStr">
        <is>
          <t>Mantenimiento intranets</t>
        </is>
      </c>
      <c r="G500" t="inlineStr">
        <is>
          <t>Soporte anual</t>
        </is>
      </c>
      <c r="H500" t="inlineStr">
        <is>
          <t>Herramientas SEO para mantenimiento intranets</t>
        </is>
      </c>
      <c r="I500" s="5" t="n">
        <v>2319.9</v>
      </c>
      <c r="J500" s="3" t="n">
        <v>0.21</v>
      </c>
      <c r="K500" s="5">
        <f>ROUND(I500*(1+J500),2)</f>
        <v/>
      </c>
      <c r="L500" t="inlineStr">
        <is>
          <t>Fijo</t>
        </is>
      </c>
      <c r="M500" t="inlineStr">
        <is>
          <t>Marketing</t>
        </is>
      </c>
      <c r="N500" t="inlineStr">
        <is>
          <t>Intranet operaciones</t>
        </is>
      </c>
    </row>
    <row r="501">
      <c r="A501" t="inlineStr">
        <is>
          <t>GAS-0500</t>
        </is>
      </c>
      <c r="B501" s="2" t="n">
        <v>45528</v>
      </c>
      <c r="C501" t="inlineStr">
        <is>
          <t>Operaciones</t>
        </is>
      </c>
      <c r="D501" t="inlineStr">
        <is>
          <t>Subtitulación</t>
        </is>
      </c>
      <c r="E501" t="inlineStr">
        <is>
          <t>CloudPulse</t>
        </is>
      </c>
      <c r="F501" t="inlineStr">
        <is>
          <t>Anuncios TV</t>
        </is>
      </c>
      <c r="G501" t="inlineStr">
        <is>
          <t>Retainer trimestral</t>
        </is>
      </c>
      <c r="H501" t="inlineStr">
        <is>
          <t>Subtitulación para anuncios tv</t>
        </is>
      </c>
      <c r="I501" s="5" t="n">
        <v>2031.68</v>
      </c>
      <c r="J501" s="3" t="n">
        <v>0</v>
      </c>
      <c r="K501" s="5">
        <f>ROUND(I501*(1+J501),2)</f>
        <v/>
      </c>
      <c r="L501" t="inlineStr">
        <is>
          <t>Variable</t>
        </is>
      </c>
      <c r="M501" t="inlineStr">
        <is>
          <t>Marketing</t>
        </is>
      </c>
      <c r="N501" t="inlineStr">
        <is>
          <t>Campaña empleo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22" customWidth="1" min="6" max="6"/>
    <col width="18" customWidth="1" min="7" max="7"/>
    <col width="20" customWidth="1" min="8" max="8"/>
    <col width="10" customWidth="1" min="9" max="9"/>
    <col width="18" customWidth="1" min="10" max="10"/>
    <col width="18" customWidth="1" min="11" max="11"/>
    <col width="12" customWidth="1" min="12" max="12"/>
    <col width="18" customWidth="1" min="13" max="13"/>
    <col width="18" customWidth="1" min="14" max="14"/>
    <col width="18" customWidth="1" min="15" max="15"/>
    <col width="16" customWidth="1" min="16" max="16"/>
  </cols>
  <sheetData>
    <row r="1" ht="22" customHeight="1">
      <c r="A1" s="1" t="inlineStr">
        <is>
          <t>Ingreso_ID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Sector</t>
        </is>
      </c>
      <c r="E1" s="1" t="inlineStr">
        <is>
          <t>Pais</t>
        </is>
      </c>
      <c r="F1" s="1" t="inlineStr">
        <is>
          <t>Servicio</t>
        </is>
      </c>
      <c r="G1" s="1" t="inlineStr">
        <is>
          <t>Canal</t>
        </is>
      </c>
      <c r="H1" s="1" t="inlineStr">
        <is>
          <t>Proyecto</t>
        </is>
      </c>
      <c r="I1" s="1" t="inlineStr">
        <is>
          <t>Unidades</t>
        </is>
      </c>
      <c r="J1" s="1" t="inlineStr">
        <is>
          <t>Precio_Unitario_EUR</t>
        </is>
      </c>
      <c r="K1" s="1" t="inlineStr">
        <is>
          <t>Ingreso_Bruto_EUR</t>
        </is>
      </c>
      <c r="L1" s="1" t="inlineStr">
        <is>
          <t>Descuento_pct</t>
        </is>
      </c>
      <c r="M1" s="1" t="inlineStr">
        <is>
          <t>Ingreso_Neto_EUR</t>
        </is>
      </c>
      <c r="N1" s="1" t="inlineStr">
        <is>
          <t>Coste_Directo_EUR</t>
        </is>
      </c>
      <c r="O1" s="1" t="inlineStr">
        <is>
          <t>Margen_Bruto_EUR</t>
        </is>
      </c>
      <c r="P1" s="1" t="inlineStr">
        <is>
          <t>Estado_Factura</t>
        </is>
      </c>
    </row>
    <row r="2">
      <c r="A2" t="inlineStr">
        <is>
          <t>ING-0001</t>
        </is>
      </c>
      <c r="B2" s="2" t="n">
        <v>45418</v>
      </c>
      <c r="C2" t="inlineStr">
        <is>
          <t>BioMedic</t>
        </is>
      </c>
      <c r="D2" t="inlineStr">
        <is>
          <t>Medios</t>
        </is>
      </c>
      <c r="E2" t="inlineStr">
        <is>
          <t>España</t>
        </is>
      </c>
      <c r="F2" t="inlineStr">
        <is>
          <t>Generación de noticias</t>
        </is>
      </c>
      <c r="G2" t="inlineStr">
        <is>
          <t>Retainer trimestral</t>
        </is>
      </c>
      <c r="H2" t="inlineStr">
        <is>
          <t>Portal internacional</t>
        </is>
      </c>
      <c r="I2" t="n">
        <v>51</v>
      </c>
      <c r="J2" s="5" t="n">
        <v>158.69</v>
      </c>
      <c r="K2" s="5">
        <f>ROUND(I2*J2,2)</f>
        <v/>
      </c>
      <c r="L2" s="3" t="n">
        <v>0.08</v>
      </c>
      <c r="M2" s="5">
        <f>ROUND(K2*(1-L2),2)</f>
        <v/>
      </c>
      <c r="N2" s="5" t="n">
        <v>2228.67</v>
      </c>
      <c r="O2" s="5">
        <f>ROUND(M2-N2,2)</f>
        <v/>
      </c>
      <c r="P2" t="inlineStr">
        <is>
          <t>Cobrada</t>
        </is>
      </c>
    </row>
    <row r="3">
      <c r="A3" t="inlineStr">
        <is>
          <t>ING-0002</t>
        </is>
      </c>
      <c r="B3" s="2" t="n">
        <v>45452</v>
      </c>
      <c r="C3" t="inlineStr">
        <is>
          <t>Smart Factory</t>
        </is>
      </c>
      <c r="D3" t="inlineStr">
        <is>
          <t>Legal</t>
        </is>
      </c>
      <c r="E3" t="inlineStr">
        <is>
          <t>Portugal</t>
        </is>
      </c>
      <c r="F3" t="inlineStr">
        <is>
          <t>Anuncios TV</t>
        </is>
      </c>
      <c r="G3" t="inlineStr">
        <is>
          <t>Proyecto puntual</t>
        </is>
      </c>
      <c r="H3" t="inlineStr">
        <is>
          <t>Intranet comercial</t>
        </is>
      </c>
      <c r="I3" t="n">
        <v>27</v>
      </c>
      <c r="J3" s="5" t="n">
        <v>790.98</v>
      </c>
      <c r="K3" s="5">
        <f>ROUND(I3*J3,2)</f>
        <v/>
      </c>
      <c r="L3" s="3" t="n">
        <v>0.03</v>
      </c>
      <c r="M3" s="5">
        <f>ROUND(K3*(1-L3),2)</f>
        <v/>
      </c>
      <c r="N3" s="5" t="n">
        <v>8278.09</v>
      </c>
      <c r="O3" s="5">
        <f>ROUND(M3-N3,2)</f>
        <v/>
      </c>
      <c r="P3" t="inlineStr">
        <is>
          <t>Pendiente</t>
        </is>
      </c>
    </row>
    <row r="4">
      <c r="A4" t="inlineStr">
        <is>
          <t>ING-0003</t>
        </is>
      </c>
      <c r="B4" s="2" t="n">
        <v>45650</v>
      </c>
      <c r="C4" t="inlineStr">
        <is>
          <t>Grupo Atlas</t>
        </is>
      </c>
      <c r="D4" t="inlineStr">
        <is>
          <t>Turismo</t>
        </is>
      </c>
      <c r="E4" t="inlineStr">
        <is>
          <t>México</t>
        </is>
      </c>
      <c r="F4" t="inlineStr">
        <is>
          <t>Mantenimiento web</t>
        </is>
      </c>
      <c r="G4" t="inlineStr">
        <is>
          <t>Proyecto puntual</t>
        </is>
      </c>
      <c r="H4" t="inlineStr">
        <is>
          <t>Sección noticias</t>
        </is>
      </c>
      <c r="I4" t="n">
        <v>5</v>
      </c>
      <c r="J4" s="5" t="n">
        <v>1793.62</v>
      </c>
      <c r="K4" s="5">
        <f>ROUND(I4*J4,2)</f>
        <v/>
      </c>
      <c r="L4" s="3" t="n">
        <v>0.03</v>
      </c>
      <c r="M4" s="5">
        <f>ROUND(K4*(1-L4),2)</f>
        <v/>
      </c>
      <c r="N4" s="5" t="n">
        <v>3692.01</v>
      </c>
      <c r="O4" s="5">
        <f>ROUND(M4-N4,2)</f>
        <v/>
      </c>
      <c r="P4" t="inlineStr">
        <is>
          <t>Emitida</t>
        </is>
      </c>
    </row>
    <row r="5">
      <c r="A5" t="inlineStr">
        <is>
          <t>ING-0004</t>
        </is>
      </c>
      <c r="B5" s="2" t="n">
        <v>45367</v>
      </c>
      <c r="C5" t="inlineStr">
        <is>
          <t>Campus One</t>
        </is>
      </c>
      <c r="D5" t="inlineStr">
        <is>
          <t>Medios</t>
        </is>
      </c>
      <c r="E5" t="inlineStr">
        <is>
          <t>Colombia</t>
        </is>
      </c>
      <c r="F5" t="inlineStr">
        <is>
          <t>Mantenimiento web</t>
        </is>
      </c>
      <c r="G5" t="inlineStr">
        <is>
          <t>Soporte anual</t>
        </is>
      </c>
      <c r="H5" t="inlineStr">
        <is>
          <t>Sección noticias</t>
        </is>
      </c>
      <c r="I5" t="n">
        <v>2</v>
      </c>
      <c r="J5" s="5" t="n">
        <v>2227.07</v>
      </c>
      <c r="K5" s="5">
        <f>ROUND(I5*J5,2)</f>
        <v/>
      </c>
      <c r="L5" s="3" t="n">
        <v>0.08</v>
      </c>
      <c r="M5" s="5">
        <f>ROUND(K5*(1-L5),2)</f>
        <v/>
      </c>
      <c r="N5" s="5" t="n">
        <v>2599.41</v>
      </c>
      <c r="O5" s="5">
        <f>ROUND(M5-N5,2)</f>
        <v/>
      </c>
      <c r="P5" t="inlineStr">
        <is>
          <t>Cobrada</t>
        </is>
      </c>
    </row>
    <row r="6">
      <c r="A6" t="inlineStr">
        <is>
          <t>ING-0005</t>
        </is>
      </c>
      <c r="B6" s="2" t="n">
        <v>45602</v>
      </c>
      <c r="C6" t="inlineStr">
        <is>
          <t>Campus One</t>
        </is>
      </c>
      <c r="D6" t="inlineStr">
        <is>
          <t>Turismo</t>
        </is>
      </c>
      <c r="E6" t="inlineStr">
        <is>
          <t>Portugal</t>
        </is>
      </c>
      <c r="F6" t="inlineStr">
        <is>
          <t>Anuncios RRHH</t>
        </is>
      </c>
      <c r="G6" t="inlineStr">
        <is>
          <t>Soporte anual</t>
        </is>
      </c>
      <c r="H6" t="inlineStr">
        <is>
          <t>Sección noticias</t>
        </is>
      </c>
      <c r="I6" t="n">
        <v>10</v>
      </c>
      <c r="J6" s="5" t="n">
        <v>1221.47</v>
      </c>
      <c r="K6" s="5">
        <f>ROUND(I6*J6,2)</f>
        <v/>
      </c>
      <c r="L6" s="3" t="n">
        <v>0.03</v>
      </c>
      <c r="M6" s="5">
        <f>ROUND(K6*(1-L6),2)</f>
        <v/>
      </c>
      <c r="N6" s="5" t="n">
        <v>4092.47</v>
      </c>
      <c r="O6" s="5">
        <f>ROUND(M6-N6,2)</f>
        <v/>
      </c>
      <c r="P6" t="inlineStr">
        <is>
          <t>Emitida</t>
        </is>
      </c>
    </row>
    <row r="7">
      <c r="A7" t="inlineStr">
        <is>
          <t>ING-0006</t>
        </is>
      </c>
      <c r="B7" s="2" t="n">
        <v>45364</v>
      </c>
      <c r="C7" t="inlineStr">
        <is>
          <t>SegurPlus</t>
        </is>
      </c>
      <c r="D7" t="inlineStr">
        <is>
          <t>RRHH</t>
        </is>
      </c>
      <c r="E7" t="inlineStr">
        <is>
          <t>Colombia</t>
        </is>
      </c>
      <c r="F7" t="inlineStr">
        <is>
          <t>Traducciones</t>
        </is>
      </c>
      <c r="G7" t="inlineStr">
        <is>
          <t>Soporte anual</t>
        </is>
      </c>
      <c r="H7" t="inlineStr">
        <is>
          <t>Portal corporativo</t>
        </is>
      </c>
      <c r="I7" t="n">
        <v>116</v>
      </c>
      <c r="J7" s="5" t="n">
        <v>85.72</v>
      </c>
      <c r="K7" s="5">
        <f>ROUND(I7*J7,2)</f>
        <v/>
      </c>
      <c r="L7" s="3" t="n">
        <v>0.1</v>
      </c>
      <c r="M7" s="5">
        <f>ROUND(K7*(1-L7),2)</f>
        <v/>
      </c>
      <c r="N7" s="5" t="n">
        <v>4525.58</v>
      </c>
      <c r="O7" s="5">
        <f>ROUND(M7-N7,2)</f>
        <v/>
      </c>
      <c r="P7" t="inlineStr">
        <is>
          <t>Cobrada</t>
        </is>
      </c>
    </row>
    <row r="8">
      <c r="A8" t="inlineStr">
        <is>
          <t>ING-0007</t>
        </is>
      </c>
      <c r="B8" s="2" t="n">
        <v>45309</v>
      </c>
      <c r="C8" t="inlineStr">
        <is>
          <t>Fundación Horizonte</t>
        </is>
      </c>
      <c r="D8" t="inlineStr">
        <is>
          <t>Tecnología</t>
        </is>
      </c>
      <c r="E8" t="inlineStr">
        <is>
          <t>Chile</t>
        </is>
      </c>
      <c r="F8" t="inlineStr">
        <is>
          <t>Anuncios RRHH</t>
        </is>
      </c>
      <c r="G8" t="inlineStr">
        <is>
          <t>Soporte anual</t>
        </is>
      </c>
      <c r="H8" t="inlineStr">
        <is>
          <t>Portal corporativo</t>
        </is>
      </c>
      <c r="I8" t="n">
        <v>7</v>
      </c>
      <c r="J8" s="5" t="n">
        <v>917.53</v>
      </c>
      <c r="K8" s="5">
        <f>ROUND(I8*J8,2)</f>
        <v/>
      </c>
      <c r="L8" s="3" t="n">
        <v>0.08</v>
      </c>
      <c r="M8" s="5">
        <f>ROUND(K8*(1-L8),2)</f>
        <v/>
      </c>
      <c r="N8" s="5" t="n">
        <v>3914.74</v>
      </c>
      <c r="O8" s="5">
        <f>ROUND(M8-N8,2)</f>
        <v/>
      </c>
      <c r="P8" t="inlineStr">
        <is>
          <t>Emitida</t>
        </is>
      </c>
    </row>
    <row r="9">
      <c r="A9" t="inlineStr">
        <is>
          <t>ING-0008</t>
        </is>
      </c>
      <c r="B9" s="2" t="n">
        <v>45344</v>
      </c>
      <c r="C9" t="inlineStr">
        <is>
          <t>TalentHub</t>
        </is>
      </c>
      <c r="D9" t="inlineStr">
        <is>
          <t>Retail</t>
        </is>
      </c>
      <c r="E9" t="inlineStr">
        <is>
          <t>Portugal</t>
        </is>
      </c>
      <c r="F9" t="inlineStr">
        <is>
          <t>Publicación de noticias</t>
        </is>
      </c>
      <c r="G9" t="inlineStr">
        <is>
          <t>Suscripción mensual</t>
        </is>
      </c>
      <c r="H9" t="inlineStr">
        <is>
          <t>Portal internacional</t>
        </is>
      </c>
      <c r="I9" t="n">
        <v>13</v>
      </c>
      <c r="J9" s="5" t="n">
        <v>169.77</v>
      </c>
      <c r="K9" s="5">
        <f>ROUND(I9*J9,2)</f>
        <v/>
      </c>
      <c r="L9" s="3" t="n">
        <v>0.03</v>
      </c>
      <c r="M9" s="5">
        <f>ROUND(K9*(1-L9),2)</f>
        <v/>
      </c>
      <c r="N9" s="5" t="n">
        <v>684.54</v>
      </c>
      <c r="O9" s="5">
        <f>ROUND(M9-N9,2)</f>
        <v/>
      </c>
      <c r="P9" t="inlineStr">
        <is>
          <t>Cobrada</t>
        </is>
      </c>
    </row>
    <row r="10">
      <c r="A10" t="inlineStr">
        <is>
          <t>ING-0009</t>
        </is>
      </c>
      <c r="B10" s="2" t="n">
        <v>45571</v>
      </c>
      <c r="C10" t="inlineStr">
        <is>
          <t>Nova Salud</t>
        </is>
      </c>
      <c r="D10" t="inlineStr">
        <is>
          <t>Legal</t>
        </is>
      </c>
      <c r="E10" t="inlineStr">
        <is>
          <t>Colombia</t>
        </is>
      </c>
      <c r="F10" t="inlineStr">
        <is>
          <t>Traducciones</t>
        </is>
      </c>
      <c r="G10" t="inlineStr">
        <is>
          <t>Campaña</t>
        </is>
      </c>
      <c r="H10" t="inlineStr">
        <is>
          <t>Sección noticias</t>
        </is>
      </c>
      <c r="I10" t="n">
        <v>48</v>
      </c>
      <c r="J10" s="5" t="n">
        <v>145.12</v>
      </c>
      <c r="K10" s="5">
        <f>ROUND(I10*J10,2)</f>
        <v/>
      </c>
      <c r="L10" s="3" t="n">
        <v>0.08</v>
      </c>
      <c r="M10" s="5">
        <f>ROUND(K10*(1-L10),2)</f>
        <v/>
      </c>
      <c r="N10" s="5" t="n">
        <v>3216.46</v>
      </c>
      <c r="O10" s="5">
        <f>ROUND(M10-N10,2)</f>
        <v/>
      </c>
      <c r="P10" t="inlineStr">
        <is>
          <t>Emitida</t>
        </is>
      </c>
    </row>
    <row r="11">
      <c r="A11" t="inlineStr">
        <is>
          <t>ING-0010</t>
        </is>
      </c>
      <c r="B11" s="2" t="n">
        <v>45425</v>
      </c>
      <c r="C11" t="inlineStr">
        <is>
          <t>BioMedic</t>
        </is>
      </c>
      <c r="D11" t="inlineStr">
        <is>
          <t>Finanzas</t>
        </is>
      </c>
      <c r="E11" t="inlineStr">
        <is>
          <t>España</t>
        </is>
      </c>
      <c r="F11" t="inlineStr">
        <is>
          <t>Mantenimiento intranets</t>
        </is>
      </c>
      <c r="G11" t="inlineStr">
        <is>
          <t>Soporte anual</t>
        </is>
      </c>
      <c r="H11" t="inlineStr">
        <is>
          <t>Portal corporativo</t>
        </is>
      </c>
      <c r="I11" t="n">
        <v>3</v>
      </c>
      <c r="J11" s="5" t="n">
        <v>1314.9</v>
      </c>
      <c r="K11" s="5">
        <f>ROUND(I11*J11,2)</f>
        <v/>
      </c>
      <c r="L11" s="3" t="n">
        <v>0</v>
      </c>
      <c r="M11" s="5">
        <f>ROUND(K11*(1-L11),2)</f>
        <v/>
      </c>
      <c r="N11" s="5" t="n">
        <v>2532.15</v>
      </c>
      <c r="O11" s="5">
        <f>ROUND(M11-N11,2)</f>
        <v/>
      </c>
      <c r="P11" t="inlineStr">
        <is>
          <t>Pendiente</t>
        </is>
      </c>
    </row>
    <row r="12">
      <c r="A12" t="inlineStr">
        <is>
          <t>ING-0011</t>
        </is>
      </c>
      <c r="B12" s="2" t="n">
        <v>45370</v>
      </c>
      <c r="C12" t="inlineStr">
        <is>
          <t>FinanData</t>
        </is>
      </c>
      <c r="D12" t="inlineStr">
        <is>
          <t>Legal</t>
        </is>
      </c>
      <c r="E12" t="inlineStr">
        <is>
          <t>México</t>
        </is>
      </c>
      <c r="F12" t="inlineStr">
        <is>
          <t>Mantenimiento intranets</t>
        </is>
      </c>
      <c r="G12" t="inlineStr">
        <is>
          <t>Retainer trimestral</t>
        </is>
      </c>
      <c r="H12" t="inlineStr">
        <is>
          <t>Microsite RRHH</t>
        </is>
      </c>
      <c r="I12" t="n">
        <v>1</v>
      </c>
      <c r="J12" s="5" t="n">
        <v>1051.83</v>
      </c>
      <c r="K12" s="5">
        <f>ROUND(I12*J12,2)</f>
        <v/>
      </c>
      <c r="L12" s="3" t="n">
        <v>0.1</v>
      </c>
      <c r="M12" s="5">
        <f>ROUND(K12*(1-L12),2)</f>
        <v/>
      </c>
      <c r="N12" s="5" t="n">
        <v>606.03</v>
      </c>
      <c r="O12" s="5">
        <f>ROUND(M12-N12,2)</f>
        <v/>
      </c>
      <c r="P12" t="inlineStr">
        <is>
          <t>Pendiente</t>
        </is>
      </c>
    </row>
    <row r="13">
      <c r="A13" t="inlineStr">
        <is>
          <t>ING-0012</t>
        </is>
      </c>
      <c r="B13" s="2" t="n">
        <v>45634</v>
      </c>
      <c r="C13" t="inlineStr">
        <is>
          <t>Legal360</t>
        </is>
      </c>
      <c r="D13" t="inlineStr">
        <is>
          <t>Legal</t>
        </is>
      </c>
      <c r="E13" t="inlineStr">
        <is>
          <t>España</t>
        </is>
      </c>
      <c r="F13" t="inlineStr">
        <is>
          <t>Anuncios prensa</t>
        </is>
      </c>
      <c r="G13" t="inlineStr">
        <is>
          <t>Suscripción mensual</t>
        </is>
      </c>
      <c r="H13" t="inlineStr">
        <is>
          <t>Campaña empleo</t>
        </is>
      </c>
      <c r="I13" t="n">
        <v>18</v>
      </c>
      <c r="J13" s="5" t="n">
        <v>1949.01</v>
      </c>
      <c r="K13" s="5">
        <f>ROUND(I13*J13,2)</f>
        <v/>
      </c>
      <c r="L13" s="3" t="n">
        <v>0.08</v>
      </c>
      <c r="M13" s="5">
        <f>ROUND(K13*(1-L13),2)</f>
        <v/>
      </c>
      <c r="N13" s="5" t="n">
        <v>16195.97</v>
      </c>
      <c r="O13" s="5">
        <f>ROUND(M13-N13,2)</f>
        <v/>
      </c>
      <c r="P13" t="inlineStr">
        <is>
          <t>Emitida</t>
        </is>
      </c>
    </row>
    <row r="14">
      <c r="A14" t="inlineStr">
        <is>
          <t>ING-0013</t>
        </is>
      </c>
      <c r="B14" s="2" t="n">
        <v>45589</v>
      </c>
      <c r="C14" t="inlineStr">
        <is>
          <t>Industrias Vega</t>
        </is>
      </c>
      <c r="D14" t="inlineStr">
        <is>
          <t>Legal</t>
        </is>
      </c>
      <c r="E14" t="inlineStr">
        <is>
          <t>Portugal</t>
        </is>
      </c>
      <c r="F14" t="inlineStr">
        <is>
          <t>Mantenimiento intranets</t>
        </is>
      </c>
      <c r="G14" t="inlineStr">
        <is>
          <t>Campaña</t>
        </is>
      </c>
      <c r="H14" t="inlineStr">
        <is>
          <t>Campaña empleo</t>
        </is>
      </c>
      <c r="I14" t="n">
        <v>8</v>
      </c>
      <c r="J14" s="5" t="n">
        <v>925.75</v>
      </c>
      <c r="K14" s="5">
        <f>ROUND(I14*J14,2)</f>
        <v/>
      </c>
      <c r="L14" s="3" t="n">
        <v>0</v>
      </c>
      <c r="M14" s="5">
        <f>ROUND(K14*(1-L14),2)</f>
        <v/>
      </c>
      <c r="N14" s="5" t="n">
        <v>4086.51</v>
      </c>
      <c r="O14" s="5">
        <f>ROUND(M14-N14,2)</f>
        <v/>
      </c>
      <c r="P14" t="inlineStr">
        <is>
          <t>Pendiente</t>
        </is>
      </c>
    </row>
    <row r="15">
      <c r="A15" t="inlineStr">
        <is>
          <t>ING-0014</t>
        </is>
      </c>
      <c r="B15" s="2" t="n">
        <v>45490</v>
      </c>
      <c r="C15" t="inlineStr">
        <is>
          <t>TurisWorld</t>
        </is>
      </c>
      <c r="D15" t="inlineStr">
        <is>
          <t>Finanzas</t>
        </is>
      </c>
      <c r="E15" t="inlineStr">
        <is>
          <t>Chile</t>
        </is>
      </c>
      <c r="F15" t="inlineStr">
        <is>
          <t>Mantenimiento web</t>
        </is>
      </c>
      <c r="G15" t="inlineStr">
        <is>
          <t>Retainer trimestral</t>
        </is>
      </c>
      <c r="H15" t="inlineStr">
        <is>
          <t>Portal internacional</t>
        </is>
      </c>
      <c r="I15" t="n">
        <v>5</v>
      </c>
      <c r="J15" s="5" t="n">
        <v>1856.33</v>
      </c>
      <c r="K15" s="5">
        <f>ROUND(I15*J15,2)</f>
        <v/>
      </c>
      <c r="L15" s="3" t="n">
        <v>0</v>
      </c>
      <c r="M15" s="5">
        <f>ROUND(K15*(1-L15),2)</f>
        <v/>
      </c>
      <c r="N15" s="5" t="n">
        <v>3814.28</v>
      </c>
      <c r="O15" s="5">
        <f>ROUND(M15-N15,2)</f>
        <v/>
      </c>
      <c r="P15" t="inlineStr">
        <is>
          <t>Cobrada</t>
        </is>
      </c>
    </row>
    <row r="16">
      <c r="A16" t="inlineStr">
        <is>
          <t>ING-0015</t>
        </is>
      </c>
      <c r="B16" s="2" t="n">
        <v>45520</v>
      </c>
      <c r="C16" t="inlineStr">
        <is>
          <t>Smart Factory</t>
        </is>
      </c>
      <c r="D16" t="inlineStr">
        <is>
          <t>Medios</t>
        </is>
      </c>
      <c r="E16" t="inlineStr">
        <is>
          <t>Chile</t>
        </is>
      </c>
      <c r="F16" t="inlineStr">
        <is>
          <t>Generación de noticias</t>
        </is>
      </c>
      <c r="G16" t="inlineStr">
        <is>
          <t>Campaña</t>
        </is>
      </c>
      <c r="H16" t="inlineStr">
        <is>
          <t>Campaña empleo</t>
        </is>
      </c>
      <c r="I16" t="n">
        <v>20</v>
      </c>
      <c r="J16" s="5" t="n">
        <v>131.06</v>
      </c>
      <c r="K16" s="5">
        <f>ROUND(I16*J16,2)</f>
        <v/>
      </c>
      <c r="L16" s="3" t="n">
        <v>0</v>
      </c>
      <c r="M16" s="5">
        <f>ROUND(K16*(1-L16),2)</f>
        <v/>
      </c>
      <c r="N16" s="5" t="n">
        <v>1164.4</v>
      </c>
      <c r="O16" s="5">
        <f>ROUND(M16-N16,2)</f>
        <v/>
      </c>
      <c r="P16" t="inlineStr">
        <is>
          <t>Emitida</t>
        </is>
      </c>
    </row>
    <row r="17">
      <c r="A17" t="inlineStr">
        <is>
          <t>ING-0016</t>
        </is>
      </c>
      <c r="B17" s="2" t="n">
        <v>45394</v>
      </c>
      <c r="C17" t="inlineStr">
        <is>
          <t>Retail Vision</t>
        </is>
      </c>
      <c r="D17" t="inlineStr">
        <is>
          <t>RRHH</t>
        </is>
      </c>
      <c r="E17" t="inlineStr">
        <is>
          <t>México</t>
        </is>
      </c>
      <c r="F17" t="inlineStr">
        <is>
          <t>Mantenimiento web</t>
        </is>
      </c>
      <c r="G17" t="inlineStr">
        <is>
          <t>Proyecto puntual</t>
        </is>
      </c>
      <c r="H17" t="inlineStr">
        <is>
          <t>Centro de prensa</t>
        </is>
      </c>
      <c r="I17" t="n">
        <v>2</v>
      </c>
      <c r="J17" s="5" t="n">
        <v>3574.13</v>
      </c>
      <c r="K17" s="5">
        <f>ROUND(I17*J17,2)</f>
        <v/>
      </c>
      <c r="L17" s="3" t="n">
        <v>0.03</v>
      </c>
      <c r="M17" s="5">
        <f>ROUND(K17*(1-L17),2)</f>
        <v/>
      </c>
      <c r="N17" s="5" t="n">
        <v>4474.24</v>
      </c>
      <c r="O17" s="5">
        <f>ROUND(M17-N17,2)</f>
        <v/>
      </c>
      <c r="P17" t="inlineStr">
        <is>
          <t>Cobrada</t>
        </is>
      </c>
    </row>
    <row r="18">
      <c r="A18" t="inlineStr">
        <is>
          <t>ING-0017</t>
        </is>
      </c>
      <c r="B18" s="2" t="n">
        <v>45298</v>
      </c>
      <c r="C18" t="inlineStr">
        <is>
          <t>TechSphere</t>
        </is>
      </c>
      <c r="D18" t="inlineStr">
        <is>
          <t>Retail</t>
        </is>
      </c>
      <c r="E18" t="inlineStr">
        <is>
          <t>México</t>
        </is>
      </c>
      <c r="F18" t="inlineStr">
        <is>
          <t>Mantenimiento web</t>
        </is>
      </c>
      <c r="G18" t="inlineStr">
        <is>
          <t>Proyecto puntual</t>
        </is>
      </c>
      <c r="H18" t="inlineStr">
        <is>
          <t>Intranet operaciones</t>
        </is>
      </c>
      <c r="I18" t="n">
        <v>5</v>
      </c>
      <c r="J18" s="5" t="n">
        <v>1680.5</v>
      </c>
      <c r="K18" s="5">
        <f>ROUND(I18*J18,2)</f>
        <v/>
      </c>
      <c r="L18" s="3" t="n">
        <v>0.1</v>
      </c>
      <c r="M18" s="5">
        <f>ROUND(K18*(1-L18),2)</f>
        <v/>
      </c>
      <c r="N18" s="5" t="n">
        <v>2186.66</v>
      </c>
      <c r="O18" s="5">
        <f>ROUND(M18-N18,2)</f>
        <v/>
      </c>
      <c r="P18" t="inlineStr">
        <is>
          <t>Cobrada</t>
        </is>
      </c>
    </row>
    <row r="19">
      <c r="A19" t="inlineStr">
        <is>
          <t>ING-0018</t>
        </is>
      </c>
      <c r="B19" s="2" t="n">
        <v>45543</v>
      </c>
      <c r="C19" t="inlineStr">
        <is>
          <t>ClinicPoint</t>
        </is>
      </c>
      <c r="D19" t="inlineStr">
        <is>
          <t>Legal</t>
        </is>
      </c>
      <c r="E19" t="inlineStr">
        <is>
          <t>Chile</t>
        </is>
      </c>
      <c r="F19" t="inlineStr">
        <is>
          <t>Anuncios RRHH</t>
        </is>
      </c>
      <c r="G19" t="inlineStr">
        <is>
          <t>Retainer trimestral</t>
        </is>
      </c>
      <c r="H19" t="inlineStr">
        <is>
          <t>Campaña empleo</t>
        </is>
      </c>
      <c r="I19" t="n">
        <v>14</v>
      </c>
      <c r="J19" s="5" t="n">
        <v>1564.26</v>
      </c>
      <c r="K19" s="5">
        <f>ROUND(I19*J19,2)</f>
        <v/>
      </c>
      <c r="L19" s="3" t="n">
        <v>0</v>
      </c>
      <c r="M19" s="5">
        <f>ROUND(K19*(1-L19),2)</f>
        <v/>
      </c>
      <c r="N19" s="5" t="n">
        <v>7031.11</v>
      </c>
      <c r="O19" s="5">
        <f>ROUND(M19-N19,2)</f>
        <v/>
      </c>
      <c r="P19" t="inlineStr">
        <is>
          <t>Pendiente</t>
        </is>
      </c>
    </row>
    <row r="20">
      <c r="A20" t="inlineStr">
        <is>
          <t>ING-0019</t>
        </is>
      </c>
      <c r="B20" s="2" t="n">
        <v>45297</v>
      </c>
      <c r="C20" t="inlineStr">
        <is>
          <t>Ayuntamiento Norte</t>
        </is>
      </c>
      <c r="D20" t="inlineStr">
        <is>
          <t>Salud</t>
        </is>
      </c>
      <c r="E20" t="inlineStr">
        <is>
          <t>México</t>
        </is>
      </c>
      <c r="F20" t="inlineStr">
        <is>
          <t>Traducciones</t>
        </is>
      </c>
      <c r="G20" t="inlineStr">
        <is>
          <t>Campaña</t>
        </is>
      </c>
      <c r="H20" t="inlineStr">
        <is>
          <t>Microsite RRHH</t>
        </is>
      </c>
      <c r="I20" t="n">
        <v>114</v>
      </c>
      <c r="J20" s="5" t="n">
        <v>44.37</v>
      </c>
      <c r="K20" s="5">
        <f>ROUND(I20*J20,2)</f>
        <v/>
      </c>
      <c r="L20" s="3" t="n">
        <v>0.1</v>
      </c>
      <c r="M20" s="5">
        <f>ROUND(K20*(1-L20),2)</f>
        <v/>
      </c>
      <c r="N20" s="5" t="n">
        <v>1373.29</v>
      </c>
      <c r="O20" s="5">
        <f>ROUND(M20-N20,2)</f>
        <v/>
      </c>
      <c r="P20" t="inlineStr">
        <is>
          <t>Pendiente</t>
        </is>
      </c>
    </row>
    <row r="21">
      <c r="A21" t="inlineStr">
        <is>
          <t>ING-0020</t>
        </is>
      </c>
      <c r="B21" s="2" t="n">
        <v>45508</v>
      </c>
      <c r="C21" t="inlineStr">
        <is>
          <t>Industrias Vega</t>
        </is>
      </c>
      <c r="D21" t="inlineStr">
        <is>
          <t>Educación</t>
        </is>
      </c>
      <c r="E21" t="inlineStr">
        <is>
          <t>México</t>
        </is>
      </c>
      <c r="F21" t="inlineStr">
        <is>
          <t>Publicación de noticias</t>
        </is>
      </c>
      <c r="G21" t="inlineStr">
        <is>
          <t>Campaña</t>
        </is>
      </c>
      <c r="H21" t="inlineStr">
        <is>
          <t>Portal corporativo</t>
        </is>
      </c>
      <c r="I21" t="n">
        <v>11</v>
      </c>
      <c r="J21" s="5" t="n">
        <v>91.53</v>
      </c>
      <c r="K21" s="5">
        <f>ROUND(I21*J21,2)</f>
        <v/>
      </c>
      <c r="L21" s="3" t="n">
        <v>0.03</v>
      </c>
      <c r="M21" s="5">
        <f>ROUND(K21*(1-L21),2)</f>
        <v/>
      </c>
      <c r="N21" s="5" t="n">
        <v>531.27</v>
      </c>
      <c r="O21" s="5">
        <f>ROUND(M21-N21,2)</f>
        <v/>
      </c>
      <c r="P21" t="inlineStr">
        <is>
          <t>Emitida</t>
        </is>
      </c>
    </row>
    <row r="22">
      <c r="A22" t="inlineStr">
        <is>
          <t>ING-0021</t>
        </is>
      </c>
      <c r="B22" s="2" t="n">
        <v>45746</v>
      </c>
      <c r="C22" t="inlineStr">
        <is>
          <t>TechSphere</t>
        </is>
      </c>
      <c r="D22" t="inlineStr">
        <is>
          <t>Educación</t>
        </is>
      </c>
      <c r="E22" t="inlineStr">
        <is>
          <t>España</t>
        </is>
      </c>
      <c r="F22" t="inlineStr">
        <is>
          <t>Traducciones</t>
        </is>
      </c>
      <c r="G22" t="inlineStr">
        <is>
          <t>Campaña</t>
        </is>
      </c>
      <c r="H22" t="inlineStr">
        <is>
          <t>Sección noticias</t>
        </is>
      </c>
      <c r="I22" t="n">
        <v>23</v>
      </c>
      <c r="J22" s="5" t="n">
        <v>76.78</v>
      </c>
      <c r="K22" s="5">
        <f>ROUND(I22*J22,2)</f>
        <v/>
      </c>
      <c r="L22" s="3" t="n">
        <v>0</v>
      </c>
      <c r="M22" s="5">
        <f>ROUND(K22*(1-L22),2)</f>
        <v/>
      </c>
      <c r="N22" s="5" t="n">
        <v>1147.8</v>
      </c>
      <c r="O22" s="5">
        <f>ROUND(M22-N22,2)</f>
        <v/>
      </c>
      <c r="P22" t="inlineStr">
        <is>
          <t>Emitida</t>
        </is>
      </c>
    </row>
    <row r="23">
      <c r="A23" t="inlineStr">
        <is>
          <t>ING-0022</t>
        </is>
      </c>
      <c r="B23" s="2" t="n">
        <v>45577</v>
      </c>
      <c r="C23" t="inlineStr">
        <is>
          <t>Ayuntamiento Norte</t>
        </is>
      </c>
      <c r="D23" t="inlineStr">
        <is>
          <t>Turismo</t>
        </is>
      </c>
      <c r="E23" t="inlineStr">
        <is>
          <t>España</t>
        </is>
      </c>
      <c r="F23" t="inlineStr">
        <is>
          <t>Traducciones</t>
        </is>
      </c>
      <c r="G23" t="inlineStr">
        <is>
          <t>Soporte anual</t>
        </is>
      </c>
      <c r="H23" t="inlineStr">
        <is>
          <t>Intranet operaciones</t>
        </is>
      </c>
      <c r="I23" t="n">
        <v>63</v>
      </c>
      <c r="J23" s="5" t="n">
        <v>161.77</v>
      </c>
      <c r="K23" s="5">
        <f>ROUND(I23*J23,2)</f>
        <v/>
      </c>
      <c r="L23" s="3" t="n">
        <v>0</v>
      </c>
      <c r="M23" s="5">
        <f>ROUND(K23*(1-L23),2)</f>
        <v/>
      </c>
      <c r="N23" s="5" t="n">
        <v>5088.69</v>
      </c>
      <c r="O23" s="5">
        <f>ROUND(M23-N23,2)</f>
        <v/>
      </c>
      <c r="P23" t="inlineStr">
        <is>
          <t>Pendiente</t>
        </is>
      </c>
    </row>
    <row r="24">
      <c r="A24" t="inlineStr">
        <is>
          <t>ING-0023</t>
        </is>
      </c>
      <c r="B24" s="2" t="n">
        <v>45311</v>
      </c>
      <c r="C24" t="inlineStr">
        <is>
          <t>ClinicPoint</t>
        </is>
      </c>
      <c r="D24" t="inlineStr">
        <is>
          <t>Administración pública</t>
        </is>
      </c>
      <c r="E24" t="inlineStr">
        <is>
          <t>Colombia</t>
        </is>
      </c>
      <c r="F24" t="inlineStr">
        <is>
          <t>Publicación de noticias</t>
        </is>
      </c>
      <c r="G24" t="inlineStr">
        <is>
          <t>Campaña</t>
        </is>
      </c>
      <c r="H24" t="inlineStr">
        <is>
          <t>Sección noticias</t>
        </is>
      </c>
      <c r="I24" t="n">
        <v>13</v>
      </c>
      <c r="J24" s="5" t="n">
        <v>95.66</v>
      </c>
      <c r="K24" s="5">
        <f>ROUND(I24*J24,2)</f>
        <v/>
      </c>
      <c r="L24" s="3" t="n">
        <v>0</v>
      </c>
      <c r="M24" s="5">
        <f>ROUND(K24*(1-L24),2)</f>
        <v/>
      </c>
      <c r="N24" s="5" t="n">
        <v>512.6900000000001</v>
      </c>
      <c r="O24" s="5">
        <f>ROUND(M24-N24,2)</f>
        <v/>
      </c>
      <c r="P24" t="inlineStr">
        <is>
          <t>Pendiente</t>
        </is>
      </c>
    </row>
    <row r="25">
      <c r="A25" t="inlineStr">
        <is>
          <t>ING-0024</t>
        </is>
      </c>
      <c r="B25" s="2" t="n">
        <v>45395</v>
      </c>
      <c r="C25" t="inlineStr">
        <is>
          <t>Ayuntamiento Norte</t>
        </is>
      </c>
      <c r="D25" t="inlineStr">
        <is>
          <t>Salud</t>
        </is>
      </c>
      <c r="E25" t="inlineStr">
        <is>
          <t>México</t>
        </is>
      </c>
      <c r="F25" t="inlineStr">
        <is>
          <t>Mantenimiento web</t>
        </is>
      </c>
      <c r="G25" t="inlineStr">
        <is>
          <t>Proyecto puntual</t>
        </is>
      </c>
      <c r="H25" t="inlineStr">
        <is>
          <t>Campaña empleo</t>
        </is>
      </c>
      <c r="I25" t="n">
        <v>5</v>
      </c>
      <c r="J25" s="5" t="n">
        <v>3455.65</v>
      </c>
      <c r="K25" s="5">
        <f>ROUND(I25*J25,2)</f>
        <v/>
      </c>
      <c r="L25" s="3" t="n">
        <v>0.1</v>
      </c>
      <c r="M25" s="5">
        <f>ROUND(K25*(1-L25),2)</f>
        <v/>
      </c>
      <c r="N25" s="5" t="n">
        <v>9660.51</v>
      </c>
      <c r="O25" s="5">
        <f>ROUND(M25-N25,2)</f>
        <v/>
      </c>
      <c r="P25" t="inlineStr">
        <is>
          <t>Cobrada</t>
        </is>
      </c>
    </row>
    <row r="26">
      <c r="A26" t="inlineStr">
        <is>
          <t>ING-0025</t>
        </is>
      </c>
      <c r="B26" s="2" t="n">
        <v>45697</v>
      </c>
      <c r="C26" t="inlineStr">
        <is>
          <t>BioMedic</t>
        </is>
      </c>
      <c r="D26" t="inlineStr">
        <is>
          <t>RRHH</t>
        </is>
      </c>
      <c r="E26" t="inlineStr">
        <is>
          <t>España</t>
        </is>
      </c>
      <c r="F26" t="inlineStr">
        <is>
          <t>Mantenimiento web</t>
        </is>
      </c>
      <c r="G26" t="inlineStr">
        <is>
          <t>Retainer trimestral</t>
        </is>
      </c>
      <c r="H26" t="inlineStr">
        <is>
          <t>Portal internacional</t>
        </is>
      </c>
      <c r="I26" t="n">
        <v>7</v>
      </c>
      <c r="J26" s="5" t="n">
        <v>2912.2</v>
      </c>
      <c r="K26" s="5">
        <f>ROUND(I26*J26,2)</f>
        <v/>
      </c>
      <c r="L26" s="3" t="n">
        <v>0</v>
      </c>
      <c r="M26" s="5">
        <f>ROUND(K26*(1-L26),2)</f>
        <v/>
      </c>
      <c r="N26" s="5" t="n">
        <v>11258.19</v>
      </c>
      <c r="O26" s="5">
        <f>ROUND(M26-N26,2)</f>
        <v/>
      </c>
      <c r="P26" t="inlineStr">
        <is>
          <t>Pendiente</t>
        </is>
      </c>
    </row>
    <row r="27">
      <c r="A27" t="inlineStr">
        <is>
          <t>ING-0026</t>
        </is>
      </c>
      <c r="B27" s="2" t="n">
        <v>45629</v>
      </c>
      <c r="C27" t="inlineStr">
        <is>
          <t>Industrias Vega</t>
        </is>
      </c>
      <c r="D27" t="inlineStr">
        <is>
          <t>RRHH</t>
        </is>
      </c>
      <c r="E27" t="inlineStr">
        <is>
          <t>Chile</t>
        </is>
      </c>
      <c r="F27" t="inlineStr">
        <is>
          <t>Anuncios RRHH</t>
        </is>
      </c>
      <c r="G27" t="inlineStr">
        <is>
          <t>Soporte anual</t>
        </is>
      </c>
      <c r="H27" t="inlineStr">
        <is>
          <t>Sección noticias</t>
        </is>
      </c>
      <c r="I27" t="n">
        <v>28</v>
      </c>
      <c r="J27" s="5" t="n">
        <v>1260.32</v>
      </c>
      <c r="K27" s="5">
        <f>ROUND(I27*J27,2)</f>
        <v/>
      </c>
      <c r="L27" s="3" t="n">
        <v>0.03</v>
      </c>
      <c r="M27" s="5">
        <f>ROUND(K27*(1-L27),2)</f>
        <v/>
      </c>
      <c r="N27" s="5" t="n">
        <v>11309.19</v>
      </c>
      <c r="O27" s="5">
        <f>ROUND(M27-N27,2)</f>
        <v/>
      </c>
      <c r="P27" t="inlineStr">
        <is>
          <t>Pendiente</t>
        </is>
      </c>
    </row>
    <row r="28">
      <c r="A28" t="inlineStr">
        <is>
          <t>ING-0027</t>
        </is>
      </c>
      <c r="B28" s="2" t="n">
        <v>45469</v>
      </c>
      <c r="C28" t="inlineStr">
        <is>
          <t>Fundación Horizonte</t>
        </is>
      </c>
      <c r="D28" t="inlineStr">
        <is>
          <t>Retail</t>
        </is>
      </c>
      <c r="E28" t="inlineStr">
        <is>
          <t>Colombia</t>
        </is>
      </c>
      <c r="F28" t="inlineStr">
        <is>
          <t>Anuncios RRHH</t>
        </is>
      </c>
      <c r="G28" t="inlineStr">
        <is>
          <t>Soporte anual</t>
        </is>
      </c>
      <c r="H28" t="inlineStr">
        <is>
          <t>Microsite RRHH</t>
        </is>
      </c>
      <c r="I28" t="n">
        <v>7</v>
      </c>
      <c r="J28" s="5" t="n">
        <v>1513.5</v>
      </c>
      <c r="K28" s="5">
        <f>ROUND(I28*J28,2)</f>
        <v/>
      </c>
      <c r="L28" s="3" t="n">
        <v>0.03</v>
      </c>
      <c r="M28" s="5">
        <f>ROUND(K28*(1-L28),2)</f>
        <v/>
      </c>
      <c r="N28" s="5" t="n">
        <v>4343.82</v>
      </c>
      <c r="O28" s="5">
        <f>ROUND(M28-N28,2)</f>
        <v/>
      </c>
      <c r="P28" t="inlineStr">
        <is>
          <t>Cobrada</t>
        </is>
      </c>
    </row>
    <row r="29">
      <c r="A29" t="inlineStr">
        <is>
          <t>ING-0028</t>
        </is>
      </c>
      <c r="B29" s="2" t="n">
        <v>45475</v>
      </c>
      <c r="C29" t="inlineStr">
        <is>
          <t>Campus One</t>
        </is>
      </c>
      <c r="D29" t="inlineStr">
        <is>
          <t>Industria</t>
        </is>
      </c>
      <c r="E29" t="inlineStr">
        <is>
          <t>Chile</t>
        </is>
      </c>
      <c r="F29" t="inlineStr">
        <is>
          <t>Traducciones</t>
        </is>
      </c>
      <c r="G29" t="inlineStr">
        <is>
          <t>Proyecto puntual</t>
        </is>
      </c>
      <c r="H29" t="inlineStr">
        <is>
          <t>Portal corporativo</t>
        </is>
      </c>
      <c r="I29" t="n">
        <v>37</v>
      </c>
      <c r="J29" s="5" t="n">
        <v>163.87</v>
      </c>
      <c r="K29" s="5">
        <f>ROUND(I29*J29,2)</f>
        <v/>
      </c>
      <c r="L29" s="3" t="n">
        <v>0.03</v>
      </c>
      <c r="M29" s="5">
        <f>ROUND(K29*(1-L29),2)</f>
        <v/>
      </c>
      <c r="N29" s="5" t="n">
        <v>2383.45</v>
      </c>
      <c r="O29" s="5">
        <f>ROUND(M29-N29,2)</f>
        <v/>
      </c>
      <c r="P29" t="inlineStr">
        <is>
          <t>Pendiente</t>
        </is>
      </c>
    </row>
    <row r="30">
      <c r="A30" t="inlineStr">
        <is>
          <t>ING-0029</t>
        </is>
      </c>
      <c r="B30" s="2" t="n">
        <v>45373</v>
      </c>
      <c r="C30" t="inlineStr">
        <is>
          <t>Retail Vision</t>
        </is>
      </c>
      <c r="D30" t="inlineStr">
        <is>
          <t>Retail</t>
        </is>
      </c>
      <c r="E30" t="inlineStr">
        <is>
          <t>Portugal</t>
        </is>
      </c>
      <c r="F30" t="inlineStr">
        <is>
          <t>Publicación de noticias</t>
        </is>
      </c>
      <c r="G30" t="inlineStr">
        <is>
          <t>Campaña</t>
        </is>
      </c>
      <c r="H30" t="inlineStr">
        <is>
          <t>Intranet comercial</t>
        </is>
      </c>
      <c r="I30" t="n">
        <v>48</v>
      </c>
      <c r="J30" s="5" t="n">
        <v>115.63</v>
      </c>
      <c r="K30" s="5">
        <f>ROUND(I30*J30,2)</f>
        <v/>
      </c>
      <c r="L30" s="3" t="n">
        <v>0.05</v>
      </c>
      <c r="M30" s="5">
        <f>ROUND(K30*(1-L30),2)</f>
        <v/>
      </c>
      <c r="N30" s="5" t="n">
        <v>3373.23</v>
      </c>
      <c r="O30" s="5">
        <f>ROUND(M30-N30,2)</f>
        <v/>
      </c>
      <c r="P30" t="inlineStr">
        <is>
          <t>Emitida</t>
        </is>
      </c>
    </row>
    <row r="31">
      <c r="A31" t="inlineStr">
        <is>
          <t>ING-0030</t>
        </is>
      </c>
      <c r="B31" s="2" t="n">
        <v>45422</v>
      </c>
      <c r="C31" t="inlineStr">
        <is>
          <t>Prensa Local 24</t>
        </is>
      </c>
      <c r="D31" t="inlineStr">
        <is>
          <t>Medios</t>
        </is>
      </c>
      <c r="E31" t="inlineStr">
        <is>
          <t>Portugal</t>
        </is>
      </c>
      <c r="F31" t="inlineStr">
        <is>
          <t>Anuncios TV</t>
        </is>
      </c>
      <c r="G31" t="inlineStr">
        <is>
          <t>Proyecto puntual</t>
        </is>
      </c>
      <c r="H31" t="inlineStr">
        <is>
          <t>Portal internacional</t>
        </is>
      </c>
      <c r="I31" t="n">
        <v>3</v>
      </c>
      <c r="J31" s="5" t="n">
        <v>1370.99</v>
      </c>
      <c r="K31" s="5">
        <f>ROUND(I31*J31,2)</f>
        <v/>
      </c>
      <c r="L31" s="3" t="n">
        <v>0.05</v>
      </c>
      <c r="M31" s="5">
        <f>ROUND(K31*(1-L31),2)</f>
        <v/>
      </c>
      <c r="N31" s="5" t="n">
        <v>2045.99</v>
      </c>
      <c r="O31" s="5">
        <f>ROUND(M31-N31,2)</f>
        <v/>
      </c>
      <c r="P31" t="inlineStr">
        <is>
          <t>Emitida</t>
        </is>
      </c>
    </row>
    <row r="32">
      <c r="A32" t="inlineStr">
        <is>
          <t>ING-0031</t>
        </is>
      </c>
      <c r="B32" s="2" t="n">
        <v>45711</v>
      </c>
      <c r="C32" t="inlineStr">
        <is>
          <t>EcoLogística</t>
        </is>
      </c>
      <c r="D32" t="inlineStr">
        <is>
          <t>Finanzas</t>
        </is>
      </c>
      <c r="E32" t="inlineStr">
        <is>
          <t>Chile</t>
        </is>
      </c>
      <c r="F32" t="inlineStr">
        <is>
          <t>Anuncios RRHH</t>
        </is>
      </c>
      <c r="G32" t="inlineStr">
        <is>
          <t>Retainer trimestral</t>
        </is>
      </c>
      <c r="H32" t="inlineStr">
        <is>
          <t>Microsite RRHH</t>
        </is>
      </c>
      <c r="I32" t="n">
        <v>19</v>
      </c>
      <c r="J32" s="5" t="n">
        <v>2351.78</v>
      </c>
      <c r="K32" s="5">
        <f>ROUND(I32*J32,2)</f>
        <v/>
      </c>
      <c r="L32" s="3" t="n">
        <v>0.1</v>
      </c>
      <c r="M32" s="5">
        <f>ROUND(K32*(1-L32),2)</f>
        <v/>
      </c>
      <c r="N32" s="5" t="n">
        <v>21222.23</v>
      </c>
      <c r="O32" s="5">
        <f>ROUND(M32-N32,2)</f>
        <v/>
      </c>
      <c r="P32" t="inlineStr">
        <is>
          <t>Emitida</t>
        </is>
      </c>
    </row>
    <row r="33">
      <c r="A33" t="inlineStr">
        <is>
          <t>ING-0032</t>
        </is>
      </c>
      <c r="B33" s="2" t="n">
        <v>45388</v>
      </c>
      <c r="C33" t="inlineStr">
        <is>
          <t>Grupo Atlas</t>
        </is>
      </c>
      <c r="D33" t="inlineStr">
        <is>
          <t>Legal</t>
        </is>
      </c>
      <c r="E33" t="inlineStr">
        <is>
          <t>España</t>
        </is>
      </c>
      <c r="F33" t="inlineStr">
        <is>
          <t>Mantenimiento intranets</t>
        </is>
      </c>
      <c r="G33" t="inlineStr">
        <is>
          <t>Campaña</t>
        </is>
      </c>
      <c r="H33" t="inlineStr">
        <is>
          <t>Sección noticias</t>
        </is>
      </c>
      <c r="I33" t="n">
        <v>3</v>
      </c>
      <c r="J33" s="5" t="n">
        <v>3903.66</v>
      </c>
      <c r="K33" s="5">
        <f>ROUND(I33*J33,2)</f>
        <v/>
      </c>
      <c r="L33" s="3" t="n">
        <v>0</v>
      </c>
      <c r="M33" s="5">
        <f>ROUND(K33*(1-L33),2)</f>
        <v/>
      </c>
      <c r="N33" s="5" t="n">
        <v>7435.89</v>
      </c>
      <c r="O33" s="5">
        <f>ROUND(M33-N33,2)</f>
        <v/>
      </c>
      <c r="P33" t="inlineStr">
        <is>
          <t>Pendiente</t>
        </is>
      </c>
    </row>
    <row r="34">
      <c r="A34" t="inlineStr">
        <is>
          <t>ING-0033</t>
        </is>
      </c>
      <c r="B34" s="2" t="n">
        <v>45569</v>
      </c>
      <c r="C34" t="inlineStr">
        <is>
          <t>Innova Retail</t>
        </is>
      </c>
      <c r="D34" t="inlineStr">
        <is>
          <t>Finanzas</t>
        </is>
      </c>
      <c r="E34" t="inlineStr">
        <is>
          <t>España</t>
        </is>
      </c>
      <c r="F34" t="inlineStr">
        <is>
          <t>Generación de noticias</t>
        </is>
      </c>
      <c r="G34" t="inlineStr">
        <is>
          <t>Suscripción mensual</t>
        </is>
      </c>
      <c r="H34" t="inlineStr">
        <is>
          <t>Portal corporativo</t>
        </is>
      </c>
      <c r="I34" t="n">
        <v>101</v>
      </c>
      <c r="J34" s="5" t="n">
        <v>96.86</v>
      </c>
      <c r="K34" s="5">
        <f>ROUND(I34*J34,2)</f>
        <v/>
      </c>
      <c r="L34" s="3" t="n">
        <v>0.03</v>
      </c>
      <c r="M34" s="5">
        <f>ROUND(K34*(1-L34),2)</f>
        <v/>
      </c>
      <c r="N34" s="5" t="n">
        <v>5916.96</v>
      </c>
      <c r="O34" s="5">
        <f>ROUND(M34-N34,2)</f>
        <v/>
      </c>
      <c r="P34" t="inlineStr">
        <is>
          <t>Emitida</t>
        </is>
      </c>
    </row>
    <row r="35">
      <c r="A35" t="inlineStr">
        <is>
          <t>ING-0034</t>
        </is>
      </c>
      <c r="B35" s="2" t="n">
        <v>45352</v>
      </c>
      <c r="C35" t="inlineStr">
        <is>
          <t>Legal360</t>
        </is>
      </c>
      <c r="D35" t="inlineStr">
        <is>
          <t>Tecnología</t>
        </is>
      </c>
      <c r="E35" t="inlineStr">
        <is>
          <t>Colombia</t>
        </is>
      </c>
      <c r="F35" t="inlineStr">
        <is>
          <t>Mantenimiento intranets</t>
        </is>
      </c>
      <c r="G35" t="inlineStr">
        <is>
          <t>Suscripción mensual</t>
        </is>
      </c>
      <c r="H35" t="inlineStr">
        <is>
          <t>Centro de prensa</t>
        </is>
      </c>
      <c r="I35" t="n">
        <v>2</v>
      </c>
      <c r="J35" s="5" t="n">
        <v>1141.28</v>
      </c>
      <c r="K35" s="5">
        <f>ROUND(I35*J35,2)</f>
        <v/>
      </c>
      <c r="L35" s="3" t="n">
        <v>0.03</v>
      </c>
      <c r="M35" s="5">
        <f>ROUND(K35*(1-L35),2)</f>
        <v/>
      </c>
      <c r="N35" s="5" t="n">
        <v>1014.87</v>
      </c>
      <c r="O35" s="5">
        <f>ROUND(M35-N35,2)</f>
        <v/>
      </c>
      <c r="P35" t="inlineStr">
        <is>
          <t>Cobrada</t>
        </is>
      </c>
    </row>
    <row r="36">
      <c r="A36" t="inlineStr">
        <is>
          <t>ING-0035</t>
        </is>
      </c>
      <c r="B36" s="2" t="n">
        <v>45536</v>
      </c>
      <c r="C36" t="inlineStr">
        <is>
          <t>Smart Factory</t>
        </is>
      </c>
      <c r="D36" t="inlineStr">
        <is>
          <t>Logística</t>
        </is>
      </c>
      <c r="E36" t="inlineStr">
        <is>
          <t>España</t>
        </is>
      </c>
      <c r="F36" t="inlineStr">
        <is>
          <t>Anuncios RRHH</t>
        </is>
      </c>
      <c r="G36" t="inlineStr">
        <is>
          <t>Campaña</t>
        </is>
      </c>
      <c r="H36" t="inlineStr">
        <is>
          <t>Portal corporativo</t>
        </is>
      </c>
      <c r="I36" t="n">
        <v>11</v>
      </c>
      <c r="J36" s="5" t="n">
        <v>1157.03</v>
      </c>
      <c r="K36" s="5">
        <f>ROUND(I36*J36,2)</f>
        <v/>
      </c>
      <c r="L36" s="3" t="n">
        <v>0.05</v>
      </c>
      <c r="M36" s="5">
        <f>ROUND(K36*(1-L36),2)</f>
        <v/>
      </c>
      <c r="N36" s="5" t="n">
        <v>6409.07</v>
      </c>
      <c r="O36" s="5">
        <f>ROUND(M36-N36,2)</f>
        <v/>
      </c>
      <c r="P36" t="inlineStr">
        <is>
          <t>Cobrada</t>
        </is>
      </c>
    </row>
    <row r="37">
      <c r="A37" t="inlineStr">
        <is>
          <t>ING-0036</t>
        </is>
      </c>
      <c r="B37" s="2" t="n">
        <v>45488</v>
      </c>
      <c r="C37" t="inlineStr">
        <is>
          <t>Prensa Local 24</t>
        </is>
      </c>
      <c r="D37" t="inlineStr">
        <is>
          <t>Educación</t>
        </is>
      </c>
      <c r="E37" t="inlineStr">
        <is>
          <t>Colombia</t>
        </is>
      </c>
      <c r="F37" t="inlineStr">
        <is>
          <t>Anuncios RRHH</t>
        </is>
      </c>
      <c r="G37" t="inlineStr">
        <is>
          <t>Soporte anual</t>
        </is>
      </c>
      <c r="H37" t="inlineStr">
        <is>
          <t>Portal internacional</t>
        </is>
      </c>
      <c r="I37" t="n">
        <v>10</v>
      </c>
      <c r="J37" s="5" t="n">
        <v>1796.48</v>
      </c>
      <c r="K37" s="5">
        <f>ROUND(I37*J37,2)</f>
        <v/>
      </c>
      <c r="L37" s="3" t="n">
        <v>0.1</v>
      </c>
      <c r="M37" s="5">
        <f>ROUND(K37*(1-L37),2)</f>
        <v/>
      </c>
      <c r="N37" s="5" t="n">
        <v>11143.68</v>
      </c>
      <c r="O37" s="5">
        <f>ROUND(M37-N37,2)</f>
        <v/>
      </c>
      <c r="P37" t="inlineStr">
        <is>
          <t>Cobrada</t>
        </is>
      </c>
    </row>
    <row r="38">
      <c r="A38" t="inlineStr">
        <is>
          <t>ING-0037</t>
        </is>
      </c>
      <c r="B38" s="2" t="n">
        <v>45336</v>
      </c>
      <c r="C38" t="inlineStr">
        <is>
          <t>ClinicPoint</t>
        </is>
      </c>
      <c r="D38" t="inlineStr">
        <is>
          <t>Turismo</t>
        </is>
      </c>
      <c r="E38" t="inlineStr">
        <is>
          <t>Chile</t>
        </is>
      </c>
      <c r="F38" t="inlineStr">
        <is>
          <t>Mantenimiento web</t>
        </is>
      </c>
      <c r="G38" t="inlineStr">
        <is>
          <t>Suscripción mensual</t>
        </is>
      </c>
      <c r="H38" t="inlineStr">
        <is>
          <t>Intranet comercial</t>
        </is>
      </c>
      <c r="I38" t="n">
        <v>1</v>
      </c>
      <c r="J38" s="5" t="n">
        <v>4365.97</v>
      </c>
      <c r="K38" s="5">
        <f>ROUND(I38*J38,2)</f>
        <v/>
      </c>
      <c r="L38" s="3" t="n">
        <v>0</v>
      </c>
      <c r="M38" s="5">
        <f>ROUND(K38*(1-L38),2)</f>
        <v/>
      </c>
      <c r="N38" s="5" t="n">
        <v>2516.5</v>
      </c>
      <c r="O38" s="5">
        <f>ROUND(M38-N38,2)</f>
        <v/>
      </c>
      <c r="P38" t="inlineStr">
        <is>
          <t>Pendiente</t>
        </is>
      </c>
    </row>
    <row r="39">
      <c r="A39" t="inlineStr">
        <is>
          <t>ING-0038</t>
        </is>
      </c>
      <c r="B39" s="2" t="n">
        <v>45532</v>
      </c>
      <c r="C39" t="inlineStr">
        <is>
          <t>Nova Salud</t>
        </is>
      </c>
      <c r="D39" t="inlineStr">
        <is>
          <t>Tecnología</t>
        </is>
      </c>
      <c r="E39" t="inlineStr">
        <is>
          <t>México</t>
        </is>
      </c>
      <c r="F39" t="inlineStr">
        <is>
          <t>Traducciones</t>
        </is>
      </c>
      <c r="G39" t="inlineStr">
        <is>
          <t>Soporte anual</t>
        </is>
      </c>
      <c r="H39" t="inlineStr">
        <is>
          <t>Intranet operaciones</t>
        </is>
      </c>
      <c r="I39" t="n">
        <v>53</v>
      </c>
      <c r="J39" s="5" t="n">
        <v>144.87</v>
      </c>
      <c r="K39" s="5">
        <f>ROUND(I39*J39,2)</f>
        <v/>
      </c>
      <c r="L39" s="3" t="n">
        <v>0</v>
      </c>
      <c r="M39" s="5">
        <f>ROUND(K39*(1-L39),2)</f>
        <v/>
      </c>
      <c r="N39" s="5" t="n">
        <v>2716.41</v>
      </c>
      <c r="O39" s="5">
        <f>ROUND(M39-N39,2)</f>
        <v/>
      </c>
      <c r="P39" t="inlineStr">
        <is>
          <t>Pendiente</t>
        </is>
      </c>
    </row>
    <row r="40">
      <c r="A40" t="inlineStr">
        <is>
          <t>ING-0039</t>
        </is>
      </c>
      <c r="B40" s="2" t="n">
        <v>45637</v>
      </c>
      <c r="C40" t="inlineStr">
        <is>
          <t>Grupo Atlas</t>
        </is>
      </c>
      <c r="D40" t="inlineStr">
        <is>
          <t>Legal</t>
        </is>
      </c>
      <c r="E40" t="inlineStr">
        <is>
          <t>Colombia</t>
        </is>
      </c>
      <c r="F40" t="inlineStr">
        <is>
          <t>Anuncios prensa</t>
        </is>
      </c>
      <c r="G40" t="inlineStr">
        <is>
          <t>Suscripción mensual</t>
        </is>
      </c>
      <c r="H40" t="inlineStr">
        <is>
          <t>Sección noticias</t>
        </is>
      </c>
      <c r="I40" t="n">
        <v>2</v>
      </c>
      <c r="J40" s="5" t="n">
        <v>1756.99</v>
      </c>
      <c r="K40" s="5">
        <f>ROUND(I40*J40,2)</f>
        <v/>
      </c>
      <c r="L40" s="3" t="n">
        <v>0.05</v>
      </c>
      <c r="M40" s="5">
        <f>ROUND(K40*(1-L40),2)</f>
        <v/>
      </c>
      <c r="N40" s="5" t="n">
        <v>1775.17</v>
      </c>
      <c r="O40" s="5">
        <f>ROUND(M40-N40,2)</f>
        <v/>
      </c>
      <c r="P40" t="inlineStr">
        <is>
          <t>Cobrada</t>
        </is>
      </c>
    </row>
    <row r="41">
      <c r="A41" t="inlineStr">
        <is>
          <t>ING-0040</t>
        </is>
      </c>
      <c r="B41" s="2" t="n">
        <v>45352</v>
      </c>
      <c r="C41" t="inlineStr">
        <is>
          <t>TalentHub</t>
        </is>
      </c>
      <c r="D41" t="inlineStr">
        <is>
          <t>Industria</t>
        </is>
      </c>
      <c r="E41" t="inlineStr">
        <is>
          <t>Portugal</t>
        </is>
      </c>
      <c r="F41" t="inlineStr">
        <is>
          <t>Anuncios prensa</t>
        </is>
      </c>
      <c r="G41" t="inlineStr">
        <is>
          <t>Campaña</t>
        </is>
      </c>
      <c r="H41" t="inlineStr">
        <is>
          <t>Centro de prensa</t>
        </is>
      </c>
      <c r="I41" t="n">
        <v>22</v>
      </c>
      <c r="J41" s="5" t="n">
        <v>1852.18</v>
      </c>
      <c r="K41" s="5">
        <f>ROUND(I41*J41,2)</f>
        <v/>
      </c>
      <c r="L41" s="3" t="n">
        <v>0</v>
      </c>
      <c r="M41" s="5">
        <f>ROUND(K41*(1-L41),2)</f>
        <v/>
      </c>
      <c r="N41" s="5" t="n">
        <v>14623.52</v>
      </c>
      <c r="O41" s="5">
        <f>ROUND(M41-N41,2)</f>
        <v/>
      </c>
      <c r="P41" t="inlineStr">
        <is>
          <t>Emitida</t>
        </is>
      </c>
    </row>
    <row r="42">
      <c r="A42" t="inlineStr">
        <is>
          <t>ING-0041</t>
        </is>
      </c>
      <c r="B42" s="2" t="n">
        <v>45720</v>
      </c>
      <c r="C42" t="inlineStr">
        <is>
          <t>EducaPro</t>
        </is>
      </c>
      <c r="D42" t="inlineStr">
        <is>
          <t>Finanzas</t>
        </is>
      </c>
      <c r="E42" t="inlineStr">
        <is>
          <t>Colombia</t>
        </is>
      </c>
      <c r="F42" t="inlineStr">
        <is>
          <t>Generación de noticias</t>
        </is>
      </c>
      <c r="G42" t="inlineStr">
        <is>
          <t>Campaña</t>
        </is>
      </c>
      <c r="H42" t="inlineStr">
        <is>
          <t>Campaña empleo</t>
        </is>
      </c>
      <c r="I42" t="n">
        <v>47</v>
      </c>
      <c r="J42" s="5" t="n">
        <v>99.73999999999999</v>
      </c>
      <c r="K42" s="5">
        <f>ROUND(I42*J42,2)</f>
        <v/>
      </c>
      <c r="L42" s="3" t="n">
        <v>0</v>
      </c>
      <c r="M42" s="5">
        <f>ROUND(K42*(1-L42),2)</f>
        <v/>
      </c>
      <c r="N42" s="5" t="n">
        <v>2556.44</v>
      </c>
      <c r="O42" s="5">
        <f>ROUND(M42-N42,2)</f>
        <v/>
      </c>
      <c r="P42" t="inlineStr">
        <is>
          <t>Cobrada</t>
        </is>
      </c>
    </row>
    <row r="43">
      <c r="A43" t="inlineStr">
        <is>
          <t>ING-0042</t>
        </is>
      </c>
      <c r="B43" s="2" t="n">
        <v>45735</v>
      </c>
      <c r="C43" t="inlineStr">
        <is>
          <t>Retail Vision</t>
        </is>
      </c>
      <c r="D43" t="inlineStr">
        <is>
          <t>Industria</t>
        </is>
      </c>
      <c r="E43" t="inlineStr">
        <is>
          <t>Portugal</t>
        </is>
      </c>
      <c r="F43" t="inlineStr">
        <is>
          <t>Publicación de noticias</t>
        </is>
      </c>
      <c r="G43" t="inlineStr">
        <is>
          <t>Campaña</t>
        </is>
      </c>
      <c r="H43" t="inlineStr">
        <is>
          <t>Intranet comercial</t>
        </is>
      </c>
      <c r="I43" t="n">
        <v>10</v>
      </c>
      <c r="J43" s="5" t="n">
        <v>82.31999999999999</v>
      </c>
      <c r="K43" s="5">
        <f>ROUND(I43*J43,2)</f>
        <v/>
      </c>
      <c r="L43" s="3" t="n">
        <v>0</v>
      </c>
      <c r="M43" s="5">
        <f>ROUND(K43*(1-L43),2)</f>
        <v/>
      </c>
      <c r="N43" s="5" t="n">
        <v>284.88</v>
      </c>
      <c r="O43" s="5">
        <f>ROUND(M43-N43,2)</f>
        <v/>
      </c>
      <c r="P43" t="inlineStr">
        <is>
          <t>Emitida</t>
        </is>
      </c>
    </row>
    <row r="44">
      <c r="A44" t="inlineStr">
        <is>
          <t>ING-0043</t>
        </is>
      </c>
      <c r="B44" s="2" t="n">
        <v>45304</v>
      </c>
      <c r="C44" t="inlineStr">
        <is>
          <t>Campus One</t>
        </is>
      </c>
      <c r="D44" t="inlineStr">
        <is>
          <t>Industria</t>
        </is>
      </c>
      <c r="E44" t="inlineStr">
        <is>
          <t>México</t>
        </is>
      </c>
      <c r="F44" t="inlineStr">
        <is>
          <t>Publicación de noticias</t>
        </is>
      </c>
      <c r="G44" t="inlineStr">
        <is>
          <t>Campaña</t>
        </is>
      </c>
      <c r="H44" t="inlineStr">
        <is>
          <t>Portal corporativo</t>
        </is>
      </c>
      <c r="I44" t="n">
        <v>99</v>
      </c>
      <c r="J44" s="5" t="n">
        <v>177.03</v>
      </c>
      <c r="K44" s="5">
        <f>ROUND(I44*J44,2)</f>
        <v/>
      </c>
      <c r="L44" s="3" t="n">
        <v>0.1</v>
      </c>
      <c r="M44" s="5">
        <f>ROUND(K44*(1-L44),2)</f>
        <v/>
      </c>
      <c r="N44" s="5" t="n">
        <v>8942.51</v>
      </c>
      <c r="O44" s="5">
        <f>ROUND(M44-N44,2)</f>
        <v/>
      </c>
      <c r="P44" t="inlineStr">
        <is>
          <t>Pendiente</t>
        </is>
      </c>
    </row>
    <row r="45">
      <c r="A45" t="inlineStr">
        <is>
          <t>ING-0044</t>
        </is>
      </c>
      <c r="B45" s="2" t="n">
        <v>45515</v>
      </c>
      <c r="C45" t="inlineStr">
        <is>
          <t>Prensa Local 24</t>
        </is>
      </c>
      <c r="D45" t="inlineStr">
        <is>
          <t>RRHH</t>
        </is>
      </c>
      <c r="E45" t="inlineStr">
        <is>
          <t>Colombia</t>
        </is>
      </c>
      <c r="F45" t="inlineStr">
        <is>
          <t>Anuncios RRHH</t>
        </is>
      </c>
      <c r="G45" t="inlineStr">
        <is>
          <t>Suscripción mensual</t>
        </is>
      </c>
      <c r="H45" t="inlineStr">
        <is>
          <t>Intranet comercial</t>
        </is>
      </c>
      <c r="I45" t="n">
        <v>5</v>
      </c>
      <c r="J45" s="5" t="n">
        <v>1133.77</v>
      </c>
      <c r="K45" s="5">
        <f>ROUND(I45*J45,2)</f>
        <v/>
      </c>
      <c r="L45" s="3" t="n">
        <v>0</v>
      </c>
      <c r="M45" s="5">
        <f>ROUND(K45*(1-L45),2)</f>
        <v/>
      </c>
      <c r="N45" s="5" t="n">
        <v>1498.96</v>
      </c>
      <c r="O45" s="5">
        <f>ROUND(M45-N45,2)</f>
        <v/>
      </c>
      <c r="P45" t="inlineStr">
        <is>
          <t>Cobrada</t>
        </is>
      </c>
    </row>
    <row r="46">
      <c r="A46" t="inlineStr">
        <is>
          <t>ING-0045</t>
        </is>
      </c>
      <c r="B46" s="2" t="n">
        <v>45740</v>
      </c>
      <c r="C46" t="inlineStr">
        <is>
          <t>FinanData</t>
        </is>
      </c>
      <c r="D46" t="inlineStr">
        <is>
          <t>Educación</t>
        </is>
      </c>
      <c r="E46" t="inlineStr">
        <is>
          <t>España</t>
        </is>
      </c>
      <c r="F46" t="inlineStr">
        <is>
          <t>Anuncios RRHH</t>
        </is>
      </c>
      <c r="G46" t="inlineStr">
        <is>
          <t>Proyecto puntual</t>
        </is>
      </c>
      <c r="H46" t="inlineStr">
        <is>
          <t>Intranet comercial</t>
        </is>
      </c>
      <c r="I46" t="n">
        <v>14</v>
      </c>
      <c r="J46" s="5" t="n">
        <v>1341.72</v>
      </c>
      <c r="K46" s="5">
        <f>ROUND(I46*J46,2)</f>
        <v/>
      </c>
      <c r="L46" s="3" t="n">
        <v>0.08</v>
      </c>
      <c r="M46" s="5">
        <f>ROUND(K46*(1-L46),2)</f>
        <v/>
      </c>
      <c r="N46" s="5" t="n">
        <v>6660.63</v>
      </c>
      <c r="O46" s="5">
        <f>ROUND(M46-N46,2)</f>
        <v/>
      </c>
      <c r="P46" t="inlineStr">
        <is>
          <t>Emitida</t>
        </is>
      </c>
    </row>
    <row r="47">
      <c r="A47" t="inlineStr">
        <is>
          <t>ING-0046</t>
        </is>
      </c>
      <c r="B47" s="2" t="n">
        <v>45696</v>
      </c>
      <c r="C47" t="inlineStr">
        <is>
          <t>TurisWorld</t>
        </is>
      </c>
      <c r="D47" t="inlineStr">
        <is>
          <t>Logística</t>
        </is>
      </c>
      <c r="E47" t="inlineStr">
        <is>
          <t>Colombia</t>
        </is>
      </c>
      <c r="F47" t="inlineStr">
        <is>
          <t>Mantenimiento intranets</t>
        </is>
      </c>
      <c r="G47" t="inlineStr">
        <is>
          <t>Suscripción mensual</t>
        </is>
      </c>
      <c r="H47" t="inlineStr">
        <is>
          <t>Portal corporativo</t>
        </is>
      </c>
      <c r="I47" t="n">
        <v>6</v>
      </c>
      <c r="J47" s="5" t="n">
        <v>2906.53</v>
      </c>
      <c r="K47" s="5">
        <f>ROUND(I47*J47,2)</f>
        <v/>
      </c>
      <c r="L47" s="3" t="n">
        <v>0</v>
      </c>
      <c r="M47" s="5">
        <f>ROUND(K47*(1-L47),2)</f>
        <v/>
      </c>
      <c r="N47" s="5" t="n">
        <v>7943.33</v>
      </c>
      <c r="O47" s="5">
        <f>ROUND(M47-N47,2)</f>
        <v/>
      </c>
      <c r="P47" t="inlineStr">
        <is>
          <t>Emitida</t>
        </is>
      </c>
    </row>
    <row r="48">
      <c r="A48" t="inlineStr">
        <is>
          <t>ING-0047</t>
        </is>
      </c>
      <c r="B48" s="2" t="n">
        <v>45482</v>
      </c>
      <c r="C48" t="inlineStr">
        <is>
          <t>Nova Salud</t>
        </is>
      </c>
      <c r="D48" t="inlineStr">
        <is>
          <t>Legal</t>
        </is>
      </c>
      <c r="E48" t="inlineStr">
        <is>
          <t>España</t>
        </is>
      </c>
      <c r="F48" t="inlineStr">
        <is>
          <t>Publicación de noticias</t>
        </is>
      </c>
      <c r="G48" t="inlineStr">
        <is>
          <t>Suscripción mensual</t>
        </is>
      </c>
      <c r="H48" t="inlineStr">
        <is>
          <t>Centro de prensa</t>
        </is>
      </c>
      <c r="I48" t="n">
        <v>22</v>
      </c>
      <c r="J48" s="5" t="n">
        <v>144.53</v>
      </c>
      <c r="K48" s="5">
        <f>ROUND(I48*J48,2)</f>
        <v/>
      </c>
      <c r="L48" s="3" t="n">
        <v>0.08</v>
      </c>
      <c r="M48" s="5">
        <f>ROUND(K48*(1-L48),2)</f>
        <v/>
      </c>
      <c r="N48" s="5" t="n">
        <v>1329.11</v>
      </c>
      <c r="O48" s="5">
        <f>ROUND(M48-N48,2)</f>
        <v/>
      </c>
      <c r="P48" t="inlineStr">
        <is>
          <t>Pendiente</t>
        </is>
      </c>
    </row>
    <row r="49">
      <c r="A49" t="inlineStr">
        <is>
          <t>ING-0048</t>
        </is>
      </c>
      <c r="B49" s="2" t="n">
        <v>45537</v>
      </c>
      <c r="C49" t="inlineStr">
        <is>
          <t>TechSphere</t>
        </is>
      </c>
      <c r="D49" t="inlineStr">
        <is>
          <t>Finanzas</t>
        </is>
      </c>
      <c r="E49" t="inlineStr">
        <is>
          <t>Colombia</t>
        </is>
      </c>
      <c r="F49" t="inlineStr">
        <is>
          <t>Mantenimiento web</t>
        </is>
      </c>
      <c r="G49" t="inlineStr">
        <is>
          <t>Campaña</t>
        </is>
      </c>
      <c r="H49" t="inlineStr">
        <is>
          <t>Intranet operaciones</t>
        </is>
      </c>
      <c r="I49" t="n">
        <v>3</v>
      </c>
      <c r="J49" s="5" t="n">
        <v>2050.31</v>
      </c>
      <c r="K49" s="5">
        <f>ROUND(I49*J49,2)</f>
        <v/>
      </c>
      <c r="L49" s="3" t="n">
        <v>0</v>
      </c>
      <c r="M49" s="5">
        <f>ROUND(K49*(1-L49),2)</f>
        <v/>
      </c>
      <c r="N49" s="5" t="n">
        <v>2182.23</v>
      </c>
      <c r="O49" s="5">
        <f>ROUND(M49-N49,2)</f>
        <v/>
      </c>
      <c r="P49" t="inlineStr">
        <is>
          <t>Emitida</t>
        </is>
      </c>
    </row>
    <row r="50">
      <c r="A50" t="inlineStr">
        <is>
          <t>ING-0049</t>
        </is>
      </c>
      <c r="B50" s="2" t="n">
        <v>45703</v>
      </c>
      <c r="C50" t="inlineStr">
        <is>
          <t>EducaPro</t>
        </is>
      </c>
      <c r="D50" t="inlineStr">
        <is>
          <t>Retail</t>
        </is>
      </c>
      <c r="E50" t="inlineStr">
        <is>
          <t>Portugal</t>
        </is>
      </c>
      <c r="F50" t="inlineStr">
        <is>
          <t>Publicación de noticias</t>
        </is>
      </c>
      <c r="G50" t="inlineStr">
        <is>
          <t>Soporte anual</t>
        </is>
      </c>
      <c r="H50" t="inlineStr">
        <is>
          <t>Sección noticias</t>
        </is>
      </c>
      <c r="I50" t="n">
        <v>75</v>
      </c>
      <c r="J50" s="5" t="n">
        <v>128.68</v>
      </c>
      <c r="K50" s="5">
        <f>ROUND(I50*J50,2)</f>
        <v/>
      </c>
      <c r="L50" s="3" t="n">
        <v>0</v>
      </c>
      <c r="M50" s="5">
        <f>ROUND(K50*(1-L50),2)</f>
        <v/>
      </c>
      <c r="N50" s="5" t="n">
        <v>4659.37</v>
      </c>
      <c r="O50" s="5">
        <f>ROUND(M50-N50,2)</f>
        <v/>
      </c>
      <c r="P50" t="inlineStr">
        <is>
          <t>Cobrada</t>
        </is>
      </c>
    </row>
    <row r="51">
      <c r="A51" t="inlineStr">
        <is>
          <t>ING-0050</t>
        </is>
      </c>
      <c r="B51" s="2" t="n">
        <v>45503</v>
      </c>
      <c r="C51" t="inlineStr">
        <is>
          <t>Industrias Vega</t>
        </is>
      </c>
      <c r="D51" t="inlineStr">
        <is>
          <t>Finanzas</t>
        </is>
      </c>
      <c r="E51" t="inlineStr">
        <is>
          <t>México</t>
        </is>
      </c>
      <c r="F51" t="inlineStr">
        <is>
          <t>Anuncios TV</t>
        </is>
      </c>
      <c r="G51" t="inlineStr">
        <is>
          <t>Campaña</t>
        </is>
      </c>
      <c r="H51" t="inlineStr">
        <is>
          <t>Portal corporativo</t>
        </is>
      </c>
      <c r="I51" t="n">
        <v>20</v>
      </c>
      <c r="J51" s="5" t="n">
        <v>537.12</v>
      </c>
      <c r="K51" s="5">
        <f>ROUND(I51*J51,2)</f>
        <v/>
      </c>
      <c r="L51" s="3" t="n">
        <v>0.05</v>
      </c>
      <c r="M51" s="5">
        <f>ROUND(K51*(1-L51),2)</f>
        <v/>
      </c>
      <c r="N51" s="5" t="n">
        <v>5581.61</v>
      </c>
      <c r="O51" s="5">
        <f>ROUND(M51-N51,2)</f>
        <v/>
      </c>
      <c r="P51" t="inlineStr">
        <is>
          <t>Emitida</t>
        </is>
      </c>
    </row>
    <row r="52">
      <c r="A52" t="inlineStr">
        <is>
          <t>ING-0051</t>
        </is>
      </c>
      <c r="B52" s="2" t="n">
        <v>45483</v>
      </c>
      <c r="C52" t="inlineStr">
        <is>
          <t>EcoLogística</t>
        </is>
      </c>
      <c r="D52" t="inlineStr">
        <is>
          <t>Industria</t>
        </is>
      </c>
      <c r="E52" t="inlineStr">
        <is>
          <t>Chile</t>
        </is>
      </c>
      <c r="F52" t="inlineStr">
        <is>
          <t>Anuncios RRHH</t>
        </is>
      </c>
      <c r="G52" t="inlineStr">
        <is>
          <t>Proyecto puntual</t>
        </is>
      </c>
      <c r="H52" t="inlineStr">
        <is>
          <t>Sección noticias</t>
        </is>
      </c>
      <c r="I52" t="n">
        <v>2</v>
      </c>
      <c r="J52" s="5" t="n">
        <v>602.62</v>
      </c>
      <c r="K52" s="5">
        <f>ROUND(I52*J52,2)</f>
        <v/>
      </c>
      <c r="L52" s="3" t="n">
        <v>0.05</v>
      </c>
      <c r="M52" s="5">
        <f>ROUND(K52*(1-L52),2)</f>
        <v/>
      </c>
      <c r="N52" s="5" t="n">
        <v>677.8200000000001</v>
      </c>
      <c r="O52" s="5">
        <f>ROUND(M52-N52,2)</f>
        <v/>
      </c>
      <c r="P52" t="inlineStr">
        <is>
          <t>Pendiente</t>
        </is>
      </c>
    </row>
    <row r="53">
      <c r="A53" t="inlineStr">
        <is>
          <t>ING-0052</t>
        </is>
      </c>
      <c r="B53" s="2" t="n">
        <v>45415</v>
      </c>
      <c r="C53" t="inlineStr">
        <is>
          <t>Smart Factory</t>
        </is>
      </c>
      <c r="D53" t="inlineStr">
        <is>
          <t>Legal</t>
        </is>
      </c>
      <c r="E53" t="inlineStr">
        <is>
          <t>México</t>
        </is>
      </c>
      <c r="F53" t="inlineStr">
        <is>
          <t>Anuncios TV</t>
        </is>
      </c>
      <c r="G53" t="inlineStr">
        <is>
          <t>Campaña</t>
        </is>
      </c>
      <c r="H53" t="inlineStr">
        <is>
          <t>Intranet comercial</t>
        </is>
      </c>
      <c r="I53" t="n">
        <v>22</v>
      </c>
      <c r="J53" s="5" t="n">
        <v>2198.9</v>
      </c>
      <c r="K53" s="5">
        <f>ROUND(I53*J53,2)</f>
        <v/>
      </c>
      <c r="L53" s="3" t="n">
        <v>0.05</v>
      </c>
      <c r="M53" s="5">
        <f>ROUND(K53*(1-L53),2)</f>
        <v/>
      </c>
      <c r="N53" s="5" t="n">
        <v>25310.1</v>
      </c>
      <c r="O53" s="5">
        <f>ROUND(M53-N53,2)</f>
        <v/>
      </c>
      <c r="P53" t="inlineStr">
        <is>
          <t>Pendiente</t>
        </is>
      </c>
    </row>
    <row r="54">
      <c r="A54" t="inlineStr">
        <is>
          <t>ING-0053</t>
        </is>
      </c>
      <c r="B54" s="2" t="n">
        <v>45689</v>
      </c>
      <c r="C54" t="inlineStr">
        <is>
          <t>FinanData</t>
        </is>
      </c>
      <c r="D54" t="inlineStr">
        <is>
          <t>Medios</t>
        </is>
      </c>
      <c r="E54" t="inlineStr">
        <is>
          <t>España</t>
        </is>
      </c>
      <c r="F54" t="inlineStr">
        <is>
          <t>Mantenimiento web</t>
        </is>
      </c>
      <c r="G54" t="inlineStr">
        <is>
          <t>Retainer trimestral</t>
        </is>
      </c>
      <c r="H54" t="inlineStr">
        <is>
          <t>Centro de prensa</t>
        </is>
      </c>
      <c r="I54" t="n">
        <v>2</v>
      </c>
      <c r="J54" s="5" t="n">
        <v>2922.07</v>
      </c>
      <c r="K54" s="5">
        <f>ROUND(I54*J54,2)</f>
        <v/>
      </c>
      <c r="L54" s="3" t="n">
        <v>0.05</v>
      </c>
      <c r="M54" s="5">
        <f>ROUND(K54*(1-L54),2)</f>
        <v/>
      </c>
      <c r="N54" s="5" t="n">
        <v>3231.37</v>
      </c>
      <c r="O54" s="5">
        <f>ROUND(M54-N54,2)</f>
        <v/>
      </c>
      <c r="P54" t="inlineStr">
        <is>
          <t>Cobrada</t>
        </is>
      </c>
    </row>
    <row r="55">
      <c r="A55" t="inlineStr">
        <is>
          <t>ING-0054</t>
        </is>
      </c>
      <c r="B55" s="2" t="n">
        <v>45449</v>
      </c>
      <c r="C55" t="inlineStr">
        <is>
          <t>ClinicPoint</t>
        </is>
      </c>
      <c r="D55" t="inlineStr">
        <is>
          <t>Legal</t>
        </is>
      </c>
      <c r="E55" t="inlineStr">
        <is>
          <t>Colombia</t>
        </is>
      </c>
      <c r="F55" t="inlineStr">
        <is>
          <t>Anuncios internet</t>
        </is>
      </c>
      <c r="G55" t="inlineStr">
        <is>
          <t>Campaña</t>
        </is>
      </c>
      <c r="H55" t="inlineStr">
        <is>
          <t>Sección noticias</t>
        </is>
      </c>
      <c r="I55" t="n">
        <v>11</v>
      </c>
      <c r="J55" s="5" t="n">
        <v>2115.36</v>
      </c>
      <c r="K55" s="5">
        <f>ROUND(I55*J55,2)</f>
        <v/>
      </c>
      <c r="L55" s="3" t="n">
        <v>0.05</v>
      </c>
      <c r="M55" s="5">
        <f>ROUND(K55*(1-L55),2)</f>
        <v/>
      </c>
      <c r="N55" s="5" t="n">
        <v>11873.63</v>
      </c>
      <c r="O55" s="5">
        <f>ROUND(M55-N55,2)</f>
        <v/>
      </c>
      <c r="P55" t="inlineStr">
        <is>
          <t>Cobrada</t>
        </is>
      </c>
    </row>
    <row r="56">
      <c r="A56" t="inlineStr">
        <is>
          <t>ING-0055</t>
        </is>
      </c>
      <c r="B56" s="2" t="n">
        <v>45324</v>
      </c>
      <c r="C56" t="inlineStr">
        <is>
          <t>Ayuntamiento Norte</t>
        </is>
      </c>
      <c r="D56" t="inlineStr">
        <is>
          <t>Medios</t>
        </is>
      </c>
      <c r="E56" t="inlineStr">
        <is>
          <t>México</t>
        </is>
      </c>
      <c r="F56" t="inlineStr">
        <is>
          <t>Traducciones</t>
        </is>
      </c>
      <c r="G56" t="inlineStr">
        <is>
          <t>Retainer trimestral</t>
        </is>
      </c>
      <c r="H56" t="inlineStr">
        <is>
          <t>Centro de prensa</t>
        </is>
      </c>
      <c r="I56" t="n">
        <v>48</v>
      </c>
      <c r="J56" s="5" t="n">
        <v>114.58</v>
      </c>
      <c r="K56" s="5">
        <f>ROUND(I56*J56,2)</f>
        <v/>
      </c>
      <c r="L56" s="3" t="n">
        <v>0.08</v>
      </c>
      <c r="M56" s="5">
        <f>ROUND(K56*(1-L56),2)</f>
        <v/>
      </c>
      <c r="N56" s="5" t="n">
        <v>2832.71</v>
      </c>
      <c r="O56" s="5">
        <f>ROUND(M56-N56,2)</f>
        <v/>
      </c>
      <c r="P56" t="inlineStr">
        <is>
          <t>Pendiente</t>
        </is>
      </c>
    </row>
    <row r="57">
      <c r="A57" t="inlineStr">
        <is>
          <t>ING-0056</t>
        </is>
      </c>
      <c r="B57" s="2" t="n">
        <v>45470</v>
      </c>
      <c r="C57" t="inlineStr">
        <is>
          <t>Fundación Horizonte</t>
        </is>
      </c>
      <c r="D57" t="inlineStr">
        <is>
          <t>Finanzas</t>
        </is>
      </c>
      <c r="E57" t="inlineStr">
        <is>
          <t>México</t>
        </is>
      </c>
      <c r="F57" t="inlineStr">
        <is>
          <t>Mantenimiento intranets</t>
        </is>
      </c>
      <c r="G57" t="inlineStr">
        <is>
          <t>Soporte anual</t>
        </is>
      </c>
      <c r="H57" t="inlineStr">
        <is>
          <t>Microsite RRHH</t>
        </is>
      </c>
      <c r="I57" t="n">
        <v>6</v>
      </c>
      <c r="J57" s="5" t="n">
        <v>4165.98</v>
      </c>
      <c r="K57" s="5">
        <f>ROUND(I57*J57,2)</f>
        <v/>
      </c>
      <c r="L57" s="3" t="n">
        <v>0.03</v>
      </c>
      <c r="M57" s="5">
        <f>ROUND(K57*(1-L57),2)</f>
        <v/>
      </c>
      <c r="N57" s="5" t="n">
        <v>12332.64</v>
      </c>
      <c r="O57" s="5">
        <f>ROUND(M57-N57,2)</f>
        <v/>
      </c>
      <c r="P57" t="inlineStr">
        <is>
          <t>Cobrada</t>
        </is>
      </c>
    </row>
    <row r="58">
      <c r="A58" t="inlineStr">
        <is>
          <t>ING-0057</t>
        </is>
      </c>
      <c r="B58" s="2" t="n">
        <v>45702</v>
      </c>
      <c r="C58" t="inlineStr">
        <is>
          <t>Fundación Horizonte</t>
        </is>
      </c>
      <c r="D58" t="inlineStr">
        <is>
          <t>Finanzas</t>
        </is>
      </c>
      <c r="E58" t="inlineStr">
        <is>
          <t>México</t>
        </is>
      </c>
      <c r="F58" t="inlineStr">
        <is>
          <t>Anuncios prensa</t>
        </is>
      </c>
      <c r="G58" t="inlineStr">
        <is>
          <t>Soporte anual</t>
        </is>
      </c>
      <c r="H58" t="inlineStr">
        <is>
          <t>Portal internacional</t>
        </is>
      </c>
      <c r="I58" t="n">
        <v>26</v>
      </c>
      <c r="J58" s="5" t="n">
        <v>1590.68</v>
      </c>
      <c r="K58" s="5">
        <f>ROUND(I58*J58,2)</f>
        <v/>
      </c>
      <c r="L58" s="3" t="n">
        <v>0</v>
      </c>
      <c r="M58" s="5">
        <f>ROUND(K58*(1-L58),2)</f>
        <v/>
      </c>
      <c r="N58" s="5" t="n">
        <v>24333.32</v>
      </c>
      <c r="O58" s="5">
        <f>ROUND(M58-N58,2)</f>
        <v/>
      </c>
      <c r="P58" t="inlineStr">
        <is>
          <t>Cobrada</t>
        </is>
      </c>
    </row>
    <row r="59">
      <c r="A59" t="inlineStr">
        <is>
          <t>ING-0058</t>
        </is>
      </c>
      <c r="B59" s="2" t="n">
        <v>45618</v>
      </c>
      <c r="C59" t="inlineStr">
        <is>
          <t>BioMedic</t>
        </is>
      </c>
      <c r="D59" t="inlineStr">
        <is>
          <t>Finanzas</t>
        </is>
      </c>
      <c r="E59" t="inlineStr">
        <is>
          <t>Chile</t>
        </is>
      </c>
      <c r="F59" t="inlineStr">
        <is>
          <t>Anuncios TV</t>
        </is>
      </c>
      <c r="G59" t="inlineStr">
        <is>
          <t>Retainer trimestral</t>
        </is>
      </c>
      <c r="H59" t="inlineStr">
        <is>
          <t>Sección noticias</t>
        </is>
      </c>
      <c r="I59" t="n">
        <v>5</v>
      </c>
      <c r="J59" s="5" t="n">
        <v>1852.79</v>
      </c>
      <c r="K59" s="5">
        <f>ROUND(I59*J59,2)</f>
        <v/>
      </c>
      <c r="L59" s="3" t="n">
        <v>0.1</v>
      </c>
      <c r="M59" s="5">
        <f>ROUND(K59*(1-L59),2)</f>
        <v/>
      </c>
      <c r="N59" s="5" t="n">
        <v>5806.12</v>
      </c>
      <c r="O59" s="5">
        <f>ROUND(M59-N59,2)</f>
        <v/>
      </c>
      <c r="P59" t="inlineStr">
        <is>
          <t>Cobrada</t>
        </is>
      </c>
    </row>
    <row r="60">
      <c r="A60" t="inlineStr">
        <is>
          <t>ING-0059</t>
        </is>
      </c>
      <c r="B60" s="2" t="n">
        <v>45582</v>
      </c>
      <c r="C60" t="inlineStr">
        <is>
          <t>Campus One</t>
        </is>
      </c>
      <c r="D60" t="inlineStr">
        <is>
          <t>Legal</t>
        </is>
      </c>
      <c r="E60" t="inlineStr">
        <is>
          <t>México</t>
        </is>
      </c>
      <c r="F60" t="inlineStr">
        <is>
          <t>Anuncios RRHH</t>
        </is>
      </c>
      <c r="G60" t="inlineStr">
        <is>
          <t>Proyecto puntual</t>
        </is>
      </c>
      <c r="H60" t="inlineStr">
        <is>
          <t>Centro de prensa</t>
        </is>
      </c>
      <c r="I60" t="n">
        <v>14</v>
      </c>
      <c r="J60" s="5" t="n">
        <v>1288.21</v>
      </c>
      <c r="K60" s="5">
        <f>ROUND(I60*J60,2)</f>
        <v/>
      </c>
      <c r="L60" s="3" t="n">
        <v>0.08</v>
      </c>
      <c r="M60" s="5">
        <f>ROUND(K60*(1-L60),2)</f>
        <v/>
      </c>
      <c r="N60" s="5" t="n">
        <v>6608.32</v>
      </c>
      <c r="O60" s="5">
        <f>ROUND(M60-N60,2)</f>
        <v/>
      </c>
      <c r="P60" t="inlineStr">
        <is>
          <t>Emitida</t>
        </is>
      </c>
    </row>
    <row r="61">
      <c r="A61" t="inlineStr">
        <is>
          <t>ING-0060</t>
        </is>
      </c>
      <c r="B61" s="2" t="n">
        <v>45293</v>
      </c>
      <c r="C61" t="inlineStr">
        <is>
          <t>EducaPro</t>
        </is>
      </c>
      <c r="D61" t="inlineStr">
        <is>
          <t>Finanzas</t>
        </is>
      </c>
      <c r="E61" t="inlineStr">
        <is>
          <t>México</t>
        </is>
      </c>
      <c r="F61" t="inlineStr">
        <is>
          <t>Generación de noticias</t>
        </is>
      </c>
      <c r="G61" t="inlineStr">
        <is>
          <t>Campaña</t>
        </is>
      </c>
      <c r="H61" t="inlineStr">
        <is>
          <t>Intranet operaciones</t>
        </is>
      </c>
      <c r="I61" t="n">
        <v>53</v>
      </c>
      <c r="J61" s="5" t="n">
        <v>153.84</v>
      </c>
      <c r="K61" s="5">
        <f>ROUND(I61*J61,2)</f>
        <v/>
      </c>
      <c r="L61" s="3" t="n">
        <v>0.08</v>
      </c>
      <c r="M61" s="5">
        <f>ROUND(K61*(1-L61),2)</f>
        <v/>
      </c>
      <c r="N61" s="5" t="n">
        <v>5487.69</v>
      </c>
      <c r="O61" s="5">
        <f>ROUND(M61-N61,2)</f>
        <v/>
      </c>
      <c r="P61" t="inlineStr">
        <is>
          <t>Pendiente</t>
        </is>
      </c>
    </row>
    <row r="62">
      <c r="A62" t="inlineStr">
        <is>
          <t>ING-0061</t>
        </is>
      </c>
      <c r="B62" s="2" t="n">
        <v>45510</v>
      </c>
      <c r="C62" t="inlineStr">
        <is>
          <t>ClinicPoint</t>
        </is>
      </c>
      <c r="D62" t="inlineStr">
        <is>
          <t>Logística</t>
        </is>
      </c>
      <c r="E62" t="inlineStr">
        <is>
          <t>España</t>
        </is>
      </c>
      <c r="F62" t="inlineStr">
        <is>
          <t>Generación de noticias</t>
        </is>
      </c>
      <c r="G62" t="inlineStr">
        <is>
          <t>Campaña</t>
        </is>
      </c>
      <c r="H62" t="inlineStr">
        <is>
          <t>Microsite RRHH</t>
        </is>
      </c>
      <c r="I62" t="n">
        <v>77</v>
      </c>
      <c r="J62" s="5" t="n">
        <v>98.87</v>
      </c>
      <c r="K62" s="5">
        <f>ROUND(I62*J62,2)</f>
        <v/>
      </c>
      <c r="L62" s="3" t="n">
        <v>0.05</v>
      </c>
      <c r="M62" s="5">
        <f>ROUND(K62*(1-L62),2)</f>
        <v/>
      </c>
      <c r="N62" s="5" t="n">
        <v>2773.02</v>
      </c>
      <c r="O62" s="5">
        <f>ROUND(M62-N62,2)</f>
        <v/>
      </c>
      <c r="P62" t="inlineStr">
        <is>
          <t>Cobrada</t>
        </is>
      </c>
    </row>
    <row r="63">
      <c r="A63" t="inlineStr">
        <is>
          <t>ING-0062</t>
        </is>
      </c>
      <c r="B63" s="2" t="n">
        <v>45319</v>
      </c>
      <c r="C63" t="inlineStr">
        <is>
          <t>Nova Salud</t>
        </is>
      </c>
      <c r="D63" t="inlineStr">
        <is>
          <t>Educación</t>
        </is>
      </c>
      <c r="E63" t="inlineStr">
        <is>
          <t>México</t>
        </is>
      </c>
      <c r="F63" t="inlineStr">
        <is>
          <t>Traducciones</t>
        </is>
      </c>
      <c r="G63" t="inlineStr">
        <is>
          <t>Suscripción mensual</t>
        </is>
      </c>
      <c r="H63" t="inlineStr">
        <is>
          <t>Centro de prensa</t>
        </is>
      </c>
      <c r="I63" t="n">
        <v>28</v>
      </c>
      <c r="J63" s="5" t="n">
        <v>57.21</v>
      </c>
      <c r="K63" s="5">
        <f>ROUND(I63*J63,2)</f>
        <v/>
      </c>
      <c r="L63" s="3" t="n">
        <v>0</v>
      </c>
      <c r="M63" s="5">
        <f>ROUND(K63*(1-L63),2)</f>
        <v/>
      </c>
      <c r="N63" s="5" t="n">
        <v>924.02</v>
      </c>
      <c r="O63" s="5">
        <f>ROUND(M63-N63,2)</f>
        <v/>
      </c>
      <c r="P63" t="inlineStr">
        <is>
          <t>Emitida</t>
        </is>
      </c>
    </row>
    <row r="64">
      <c r="A64" t="inlineStr">
        <is>
          <t>ING-0063</t>
        </is>
      </c>
      <c r="B64" s="2" t="n">
        <v>45297</v>
      </c>
      <c r="C64" t="inlineStr">
        <is>
          <t>Innova Retail</t>
        </is>
      </c>
      <c r="D64" t="inlineStr">
        <is>
          <t>Tecnología</t>
        </is>
      </c>
      <c r="E64" t="inlineStr">
        <is>
          <t>Chile</t>
        </is>
      </c>
      <c r="F64" t="inlineStr">
        <is>
          <t>Anuncios prensa</t>
        </is>
      </c>
      <c r="G64" t="inlineStr">
        <is>
          <t>Retainer trimestral</t>
        </is>
      </c>
      <c r="H64" t="inlineStr">
        <is>
          <t>Centro de prensa</t>
        </is>
      </c>
      <c r="I64" t="n">
        <v>3</v>
      </c>
      <c r="J64" s="5" t="n">
        <v>2244.58</v>
      </c>
      <c r="K64" s="5">
        <f>ROUND(I64*J64,2)</f>
        <v/>
      </c>
      <c r="L64" s="3" t="n">
        <v>0.05</v>
      </c>
      <c r="M64" s="5">
        <f>ROUND(K64*(1-L64),2)</f>
        <v/>
      </c>
      <c r="N64" s="5" t="n">
        <v>3323.94</v>
      </c>
      <c r="O64" s="5">
        <f>ROUND(M64-N64,2)</f>
        <v/>
      </c>
      <c r="P64" t="inlineStr">
        <is>
          <t>Emitida</t>
        </is>
      </c>
    </row>
    <row r="65">
      <c r="A65" t="inlineStr">
        <is>
          <t>ING-0064</t>
        </is>
      </c>
      <c r="B65" s="2" t="n">
        <v>45413</v>
      </c>
      <c r="C65" t="inlineStr">
        <is>
          <t>FinanData</t>
        </is>
      </c>
      <c r="D65" t="inlineStr">
        <is>
          <t>Salud</t>
        </is>
      </c>
      <c r="E65" t="inlineStr">
        <is>
          <t>Chile</t>
        </is>
      </c>
      <c r="F65" t="inlineStr">
        <is>
          <t>Mantenimiento intranets</t>
        </is>
      </c>
      <c r="G65" t="inlineStr">
        <is>
          <t>Soporte anual</t>
        </is>
      </c>
      <c r="H65" t="inlineStr">
        <is>
          <t>Portal internacional</t>
        </is>
      </c>
      <c r="I65" t="n">
        <v>5</v>
      </c>
      <c r="J65" s="5" t="n">
        <v>4240.27</v>
      </c>
      <c r="K65" s="5">
        <f>ROUND(I65*J65,2)</f>
        <v/>
      </c>
      <c r="L65" s="3" t="n">
        <v>0</v>
      </c>
      <c r="M65" s="5">
        <f>ROUND(K65*(1-L65),2)</f>
        <v/>
      </c>
      <c r="N65" s="5" t="n">
        <v>8523.51</v>
      </c>
      <c r="O65" s="5">
        <f>ROUND(M65-N65,2)</f>
        <v/>
      </c>
      <c r="P65" t="inlineStr">
        <is>
          <t>Emitida</t>
        </is>
      </c>
    </row>
    <row r="66">
      <c r="A66" t="inlineStr">
        <is>
          <t>ING-0065</t>
        </is>
      </c>
      <c r="B66" s="2" t="n">
        <v>45338</v>
      </c>
      <c r="C66" t="inlineStr">
        <is>
          <t>Retail Vision</t>
        </is>
      </c>
      <c r="D66" t="inlineStr">
        <is>
          <t>RRHH</t>
        </is>
      </c>
      <c r="E66" t="inlineStr">
        <is>
          <t>Chile</t>
        </is>
      </c>
      <c r="F66" t="inlineStr">
        <is>
          <t>Anuncios prensa</t>
        </is>
      </c>
      <c r="G66" t="inlineStr">
        <is>
          <t>Retainer trimestral</t>
        </is>
      </c>
      <c r="H66" t="inlineStr">
        <is>
          <t>Intranet operaciones</t>
        </is>
      </c>
      <c r="I66" t="n">
        <v>19</v>
      </c>
      <c r="J66" s="5" t="n">
        <v>1598.3</v>
      </c>
      <c r="K66" s="5">
        <f>ROUND(I66*J66,2)</f>
        <v/>
      </c>
      <c r="L66" s="3" t="n">
        <v>0</v>
      </c>
      <c r="M66" s="5">
        <f>ROUND(K66*(1-L66),2)</f>
        <v/>
      </c>
      <c r="N66" s="5" t="n">
        <v>20055.51</v>
      </c>
      <c r="O66" s="5">
        <f>ROUND(M66-N66,2)</f>
        <v/>
      </c>
      <c r="P66" t="inlineStr">
        <is>
          <t>Emitida</t>
        </is>
      </c>
    </row>
    <row r="67">
      <c r="A67" t="inlineStr">
        <is>
          <t>ING-0066</t>
        </is>
      </c>
      <c r="B67" s="2" t="n">
        <v>45380</v>
      </c>
      <c r="C67" t="inlineStr">
        <is>
          <t>BioMedic</t>
        </is>
      </c>
      <c r="D67" t="inlineStr">
        <is>
          <t>Turismo</t>
        </is>
      </c>
      <c r="E67" t="inlineStr">
        <is>
          <t>España</t>
        </is>
      </c>
      <c r="F67" t="inlineStr">
        <is>
          <t>Mantenimiento intranets</t>
        </is>
      </c>
      <c r="G67" t="inlineStr">
        <is>
          <t>Suscripción mensual</t>
        </is>
      </c>
      <c r="H67" t="inlineStr">
        <is>
          <t>Campaña empleo</t>
        </is>
      </c>
      <c r="I67" t="n">
        <v>4</v>
      </c>
      <c r="J67" s="5" t="n">
        <v>1771.29</v>
      </c>
      <c r="K67" s="5">
        <f>ROUND(I67*J67,2)</f>
        <v/>
      </c>
      <c r="L67" s="3" t="n">
        <v>0.1</v>
      </c>
      <c r="M67" s="5">
        <f>ROUND(K67*(1-L67),2)</f>
        <v/>
      </c>
      <c r="N67" s="5" t="n">
        <v>3628.53</v>
      </c>
      <c r="O67" s="5">
        <f>ROUND(M67-N67,2)</f>
        <v/>
      </c>
      <c r="P67" t="inlineStr">
        <is>
          <t>Cobrada</t>
        </is>
      </c>
    </row>
    <row r="68">
      <c r="A68" t="inlineStr">
        <is>
          <t>ING-0067</t>
        </is>
      </c>
      <c r="B68" s="2" t="n">
        <v>45401</v>
      </c>
      <c r="C68" t="inlineStr">
        <is>
          <t>BioMedic</t>
        </is>
      </c>
      <c r="D68" t="inlineStr">
        <is>
          <t>Educación</t>
        </is>
      </c>
      <c r="E68" t="inlineStr">
        <is>
          <t>España</t>
        </is>
      </c>
      <c r="F68" t="inlineStr">
        <is>
          <t>Anuncios prensa</t>
        </is>
      </c>
      <c r="G68" t="inlineStr">
        <is>
          <t>Campaña</t>
        </is>
      </c>
      <c r="H68" t="inlineStr">
        <is>
          <t>Intranet operaciones</t>
        </is>
      </c>
      <c r="I68" t="n">
        <v>29</v>
      </c>
      <c r="J68" s="5" t="n">
        <v>1559.33</v>
      </c>
      <c r="K68" s="5">
        <f>ROUND(I68*J68,2)</f>
        <v/>
      </c>
      <c r="L68" s="3" t="n">
        <v>0.05</v>
      </c>
      <c r="M68" s="5">
        <f>ROUND(K68*(1-L68),2)</f>
        <v/>
      </c>
      <c r="N68" s="5" t="n">
        <v>18824.57</v>
      </c>
      <c r="O68" s="5">
        <f>ROUND(M68-N68,2)</f>
        <v/>
      </c>
      <c r="P68" t="inlineStr">
        <is>
          <t>Emitida</t>
        </is>
      </c>
    </row>
    <row r="69">
      <c r="A69" t="inlineStr">
        <is>
          <t>ING-0068</t>
        </is>
      </c>
      <c r="B69" s="2" t="n">
        <v>45431</v>
      </c>
      <c r="C69" t="inlineStr">
        <is>
          <t>TechSphere</t>
        </is>
      </c>
      <c r="D69" t="inlineStr">
        <is>
          <t>Medios</t>
        </is>
      </c>
      <c r="E69" t="inlineStr">
        <is>
          <t>Colombia</t>
        </is>
      </c>
      <c r="F69" t="inlineStr">
        <is>
          <t>Anuncios prensa</t>
        </is>
      </c>
      <c r="G69" t="inlineStr">
        <is>
          <t>Campaña</t>
        </is>
      </c>
      <c r="H69" t="inlineStr">
        <is>
          <t>Portal internacional</t>
        </is>
      </c>
      <c r="I69" t="n">
        <v>26</v>
      </c>
      <c r="J69" s="5" t="n">
        <v>1043.38</v>
      </c>
      <c r="K69" s="5">
        <f>ROUND(I69*J69,2)</f>
        <v/>
      </c>
      <c r="L69" s="3" t="n">
        <v>0.03</v>
      </c>
      <c r="M69" s="5">
        <f>ROUND(K69*(1-L69),2)</f>
        <v/>
      </c>
      <c r="N69" s="5" t="n">
        <v>13095.84</v>
      </c>
      <c r="O69" s="5">
        <f>ROUND(M69-N69,2)</f>
        <v/>
      </c>
      <c r="P69" t="inlineStr">
        <is>
          <t>Emitida</t>
        </is>
      </c>
    </row>
    <row r="70">
      <c r="A70" t="inlineStr">
        <is>
          <t>ING-0069</t>
        </is>
      </c>
      <c r="B70" s="2" t="n">
        <v>45397</v>
      </c>
      <c r="C70" t="inlineStr">
        <is>
          <t>Industrias Vega</t>
        </is>
      </c>
      <c r="D70" t="inlineStr">
        <is>
          <t>Retail</t>
        </is>
      </c>
      <c r="E70" t="inlineStr">
        <is>
          <t>España</t>
        </is>
      </c>
      <c r="F70" t="inlineStr">
        <is>
          <t>Anuncios internet</t>
        </is>
      </c>
      <c r="G70" t="inlineStr">
        <is>
          <t>Soporte anual</t>
        </is>
      </c>
      <c r="H70" t="inlineStr">
        <is>
          <t>Microsite RRHH</t>
        </is>
      </c>
      <c r="I70" t="n">
        <v>21</v>
      </c>
      <c r="J70" s="5" t="n">
        <v>1061.57</v>
      </c>
      <c r="K70" s="5">
        <f>ROUND(I70*J70,2)</f>
        <v/>
      </c>
      <c r="L70" s="3" t="n">
        <v>0</v>
      </c>
      <c r="M70" s="5">
        <f>ROUND(K70*(1-L70),2)</f>
        <v/>
      </c>
      <c r="N70" s="5" t="n">
        <v>9812.030000000001</v>
      </c>
      <c r="O70" s="5">
        <f>ROUND(M70-N70,2)</f>
        <v/>
      </c>
      <c r="P70" t="inlineStr">
        <is>
          <t>Cobrada</t>
        </is>
      </c>
    </row>
    <row r="71">
      <c r="A71" t="inlineStr">
        <is>
          <t>ING-0070</t>
        </is>
      </c>
      <c r="B71" s="2" t="n">
        <v>45658</v>
      </c>
      <c r="C71" t="inlineStr">
        <is>
          <t>Fundación Horizonte</t>
        </is>
      </c>
      <c r="D71" t="inlineStr">
        <is>
          <t>Finanzas</t>
        </is>
      </c>
      <c r="E71" t="inlineStr">
        <is>
          <t>Colombia</t>
        </is>
      </c>
      <c r="F71" t="inlineStr">
        <is>
          <t>Mantenimiento intranets</t>
        </is>
      </c>
      <c r="G71" t="inlineStr">
        <is>
          <t>Soporte anual</t>
        </is>
      </c>
      <c r="H71" t="inlineStr">
        <is>
          <t>Intranet operaciones</t>
        </is>
      </c>
      <c r="I71" t="n">
        <v>6</v>
      </c>
      <c r="J71" s="5" t="n">
        <v>2171.76</v>
      </c>
      <c r="K71" s="5">
        <f>ROUND(I71*J71,2)</f>
        <v/>
      </c>
      <c r="L71" s="3" t="n">
        <v>0</v>
      </c>
      <c r="M71" s="5">
        <f>ROUND(K71*(1-L71),2)</f>
        <v/>
      </c>
      <c r="N71" s="5" t="n">
        <v>4793.69</v>
      </c>
      <c r="O71" s="5">
        <f>ROUND(M71-N71,2)</f>
        <v/>
      </c>
      <c r="P71" t="inlineStr">
        <is>
          <t>Pendiente</t>
        </is>
      </c>
    </row>
    <row r="72">
      <c r="A72" t="inlineStr">
        <is>
          <t>ING-0071</t>
        </is>
      </c>
      <c r="B72" s="2" t="n">
        <v>45584</v>
      </c>
      <c r="C72" t="inlineStr">
        <is>
          <t>Industrias Vega</t>
        </is>
      </c>
      <c r="D72" t="inlineStr">
        <is>
          <t>Tecnología</t>
        </is>
      </c>
      <c r="E72" t="inlineStr">
        <is>
          <t>Colombia</t>
        </is>
      </c>
      <c r="F72" t="inlineStr">
        <is>
          <t>Mantenimiento intranets</t>
        </is>
      </c>
      <c r="G72" t="inlineStr">
        <is>
          <t>Suscripción mensual</t>
        </is>
      </c>
      <c r="H72" t="inlineStr">
        <is>
          <t>Intranet operaciones</t>
        </is>
      </c>
      <c r="I72" t="n">
        <v>8</v>
      </c>
      <c r="J72" s="5" t="n">
        <v>3467.05</v>
      </c>
      <c r="K72" s="5">
        <f>ROUND(I72*J72,2)</f>
        <v/>
      </c>
      <c r="L72" s="3" t="n">
        <v>0.05</v>
      </c>
      <c r="M72" s="5">
        <f>ROUND(K72*(1-L72),2)</f>
        <v/>
      </c>
      <c r="N72" s="5" t="n">
        <v>7195.05</v>
      </c>
      <c r="O72" s="5">
        <f>ROUND(M72-N72,2)</f>
        <v/>
      </c>
      <c r="P72" t="inlineStr">
        <is>
          <t>Pendiente</t>
        </is>
      </c>
    </row>
    <row r="73">
      <c r="A73" t="inlineStr">
        <is>
          <t>ING-0072</t>
        </is>
      </c>
      <c r="B73" s="2" t="n">
        <v>45429</v>
      </c>
      <c r="C73" t="inlineStr">
        <is>
          <t>Industrias Vega</t>
        </is>
      </c>
      <c r="D73" t="inlineStr">
        <is>
          <t>Turismo</t>
        </is>
      </c>
      <c r="E73" t="inlineStr">
        <is>
          <t>Colombia</t>
        </is>
      </c>
      <c r="F73" t="inlineStr">
        <is>
          <t>Anuncios internet</t>
        </is>
      </c>
      <c r="G73" t="inlineStr">
        <is>
          <t>Proyecto puntual</t>
        </is>
      </c>
      <c r="H73" t="inlineStr">
        <is>
          <t>Sección noticias</t>
        </is>
      </c>
      <c r="I73" t="n">
        <v>4</v>
      </c>
      <c r="J73" s="5" t="n">
        <v>1177.8</v>
      </c>
      <c r="K73" s="5">
        <f>ROUND(I73*J73,2)</f>
        <v/>
      </c>
      <c r="L73" s="3" t="n">
        <v>0</v>
      </c>
      <c r="M73" s="5">
        <f>ROUND(K73*(1-L73),2)</f>
        <v/>
      </c>
      <c r="N73" s="5" t="n">
        <v>1883.25</v>
      </c>
      <c r="O73" s="5">
        <f>ROUND(M73-N73,2)</f>
        <v/>
      </c>
      <c r="P73" t="inlineStr">
        <is>
          <t>Pendiente</t>
        </is>
      </c>
    </row>
    <row r="74">
      <c r="A74" t="inlineStr">
        <is>
          <t>ING-0073</t>
        </is>
      </c>
      <c r="B74" s="2" t="n">
        <v>45487</v>
      </c>
      <c r="C74" t="inlineStr">
        <is>
          <t>Industrias Vega</t>
        </is>
      </c>
      <c r="D74" t="inlineStr">
        <is>
          <t>Salud</t>
        </is>
      </c>
      <c r="E74" t="inlineStr">
        <is>
          <t>Portugal</t>
        </is>
      </c>
      <c r="F74" t="inlineStr">
        <is>
          <t>Anuncios TV</t>
        </is>
      </c>
      <c r="G74" t="inlineStr">
        <is>
          <t>Suscripción mensual</t>
        </is>
      </c>
      <c r="H74" t="inlineStr">
        <is>
          <t>Sección noticias</t>
        </is>
      </c>
      <c r="I74" t="n">
        <v>18</v>
      </c>
      <c r="J74" s="5" t="n">
        <v>2053.83</v>
      </c>
      <c r="K74" s="5">
        <f>ROUND(I74*J74,2)</f>
        <v/>
      </c>
      <c r="L74" s="3" t="n">
        <v>0</v>
      </c>
      <c r="M74" s="5">
        <f>ROUND(K74*(1-L74),2)</f>
        <v/>
      </c>
      <c r="N74" s="5" t="n">
        <v>22689.29</v>
      </c>
      <c r="O74" s="5">
        <f>ROUND(M74-N74,2)</f>
        <v/>
      </c>
      <c r="P74" t="inlineStr">
        <is>
          <t>Pendiente</t>
        </is>
      </c>
    </row>
    <row r="75">
      <c r="A75" t="inlineStr">
        <is>
          <t>ING-0074</t>
        </is>
      </c>
      <c r="B75" s="2" t="n">
        <v>45523</v>
      </c>
      <c r="C75" t="inlineStr">
        <is>
          <t>FinanData</t>
        </is>
      </c>
      <c r="D75" t="inlineStr">
        <is>
          <t>Turismo</t>
        </is>
      </c>
      <c r="E75" t="inlineStr">
        <is>
          <t>Portugal</t>
        </is>
      </c>
      <c r="F75" t="inlineStr">
        <is>
          <t>Anuncios TV</t>
        </is>
      </c>
      <c r="G75" t="inlineStr">
        <is>
          <t>Campaña</t>
        </is>
      </c>
      <c r="H75" t="inlineStr">
        <is>
          <t>Centro de prensa</t>
        </is>
      </c>
      <c r="I75" t="n">
        <v>10</v>
      </c>
      <c r="J75" s="5" t="n">
        <v>336.25</v>
      </c>
      <c r="K75" s="5">
        <f>ROUND(I75*J75,2)</f>
        <v/>
      </c>
      <c r="L75" s="3" t="n">
        <v>0</v>
      </c>
      <c r="M75" s="5">
        <f>ROUND(K75*(1-L75),2)</f>
        <v/>
      </c>
      <c r="N75" s="5" t="n">
        <v>2188.2</v>
      </c>
      <c r="O75" s="5">
        <f>ROUND(M75-N75,2)</f>
        <v/>
      </c>
      <c r="P75" t="inlineStr">
        <is>
          <t>Emitida</t>
        </is>
      </c>
    </row>
    <row r="76">
      <c r="A76" t="inlineStr">
        <is>
          <t>ING-0075</t>
        </is>
      </c>
      <c r="B76" s="2" t="n">
        <v>45339</v>
      </c>
      <c r="C76" t="inlineStr">
        <is>
          <t>Smart Factory</t>
        </is>
      </c>
      <c r="D76" t="inlineStr">
        <is>
          <t>Salud</t>
        </is>
      </c>
      <c r="E76" t="inlineStr">
        <is>
          <t>Chile</t>
        </is>
      </c>
      <c r="F76" t="inlineStr">
        <is>
          <t>Anuncios prensa</t>
        </is>
      </c>
      <c r="G76" t="inlineStr">
        <is>
          <t>Proyecto puntual</t>
        </is>
      </c>
      <c r="H76" t="inlineStr">
        <is>
          <t>Centro de prensa</t>
        </is>
      </c>
      <c r="I76" t="n">
        <v>7</v>
      </c>
      <c r="J76" s="5" t="n">
        <v>1373.19</v>
      </c>
      <c r="K76" s="5">
        <f>ROUND(I76*J76,2)</f>
        <v/>
      </c>
      <c r="L76" s="3" t="n">
        <v>0.08</v>
      </c>
      <c r="M76" s="5">
        <f>ROUND(K76*(1-L76),2)</f>
        <v/>
      </c>
      <c r="N76" s="5" t="n">
        <v>3361.26</v>
      </c>
      <c r="O76" s="5">
        <f>ROUND(M76-N76,2)</f>
        <v/>
      </c>
      <c r="P76" t="inlineStr">
        <is>
          <t>Cobrada</t>
        </is>
      </c>
    </row>
    <row r="77">
      <c r="A77" t="inlineStr">
        <is>
          <t>ING-0076</t>
        </is>
      </c>
      <c r="B77" s="2" t="n">
        <v>45600</v>
      </c>
      <c r="C77" t="inlineStr">
        <is>
          <t>EducaPro</t>
        </is>
      </c>
      <c r="D77" t="inlineStr">
        <is>
          <t>Educación</t>
        </is>
      </c>
      <c r="E77" t="inlineStr">
        <is>
          <t>España</t>
        </is>
      </c>
      <c r="F77" t="inlineStr">
        <is>
          <t>Anuncios prensa</t>
        </is>
      </c>
      <c r="G77" t="inlineStr">
        <is>
          <t>Retainer trimestral</t>
        </is>
      </c>
      <c r="H77" t="inlineStr">
        <is>
          <t>Sección noticias</t>
        </is>
      </c>
      <c r="I77" t="n">
        <v>9</v>
      </c>
      <c r="J77" s="5" t="n">
        <v>190.38</v>
      </c>
      <c r="K77" s="5">
        <f>ROUND(I77*J77,2)</f>
        <v/>
      </c>
      <c r="L77" s="3" t="n">
        <v>0.08</v>
      </c>
      <c r="M77" s="5">
        <f>ROUND(K77*(1-L77),2)</f>
        <v/>
      </c>
      <c r="N77" s="5" t="n">
        <v>1136.63</v>
      </c>
      <c r="O77" s="5">
        <f>ROUND(M77-N77,2)</f>
        <v/>
      </c>
      <c r="P77" t="inlineStr">
        <is>
          <t>Emitida</t>
        </is>
      </c>
    </row>
    <row r="78">
      <c r="A78" t="inlineStr">
        <is>
          <t>ING-0077</t>
        </is>
      </c>
      <c r="B78" s="2" t="n">
        <v>45565</v>
      </c>
      <c r="C78" t="inlineStr">
        <is>
          <t>TurisWorld</t>
        </is>
      </c>
      <c r="D78" t="inlineStr">
        <is>
          <t>Finanzas</t>
        </is>
      </c>
      <c r="E78" t="inlineStr">
        <is>
          <t>España</t>
        </is>
      </c>
      <c r="F78" t="inlineStr">
        <is>
          <t>Anuncios internet</t>
        </is>
      </c>
      <c r="G78" t="inlineStr">
        <is>
          <t>Retainer trimestral</t>
        </is>
      </c>
      <c r="H78" t="inlineStr">
        <is>
          <t>Sección noticias</t>
        </is>
      </c>
      <c r="I78" t="n">
        <v>26</v>
      </c>
      <c r="J78" s="5" t="n">
        <v>1016.99</v>
      </c>
      <c r="K78" s="5">
        <f>ROUND(I78*J78,2)</f>
        <v/>
      </c>
      <c r="L78" s="3" t="n">
        <v>0.03</v>
      </c>
      <c r="M78" s="5">
        <f>ROUND(K78*(1-L78),2)</f>
        <v/>
      </c>
      <c r="N78" s="5" t="n">
        <v>8644.76</v>
      </c>
      <c r="O78" s="5">
        <f>ROUND(M78-N78,2)</f>
        <v/>
      </c>
      <c r="P78" t="inlineStr">
        <is>
          <t>Pendiente</t>
        </is>
      </c>
    </row>
    <row r="79">
      <c r="A79" t="inlineStr">
        <is>
          <t>ING-0078</t>
        </is>
      </c>
      <c r="B79" s="2" t="n">
        <v>45532</v>
      </c>
      <c r="C79" t="inlineStr">
        <is>
          <t>FinanData</t>
        </is>
      </c>
      <c r="D79" t="inlineStr">
        <is>
          <t>Retail</t>
        </is>
      </c>
      <c r="E79" t="inlineStr">
        <is>
          <t>Portugal</t>
        </is>
      </c>
      <c r="F79" t="inlineStr">
        <is>
          <t>Mantenimiento web</t>
        </is>
      </c>
      <c r="G79" t="inlineStr">
        <is>
          <t>Soporte anual</t>
        </is>
      </c>
      <c r="H79" t="inlineStr">
        <is>
          <t>Portal internacional</t>
        </is>
      </c>
      <c r="I79" t="n">
        <v>1</v>
      </c>
      <c r="J79" s="5" t="n">
        <v>2317.7</v>
      </c>
      <c r="K79" s="5">
        <f>ROUND(I79*J79,2)</f>
        <v/>
      </c>
      <c r="L79" s="3" t="n">
        <v>0.08</v>
      </c>
      <c r="M79" s="5">
        <f>ROUND(K79*(1-L79),2)</f>
        <v/>
      </c>
      <c r="N79" s="5" t="n">
        <v>745.86</v>
      </c>
      <c r="O79" s="5">
        <f>ROUND(M79-N79,2)</f>
        <v/>
      </c>
      <c r="P79" t="inlineStr">
        <is>
          <t>Cobrada</t>
        </is>
      </c>
    </row>
    <row r="80">
      <c r="A80" t="inlineStr">
        <is>
          <t>ING-0079</t>
        </is>
      </c>
      <c r="B80" s="2" t="n">
        <v>45419</v>
      </c>
      <c r="C80" t="inlineStr">
        <is>
          <t>TurisWorld</t>
        </is>
      </c>
      <c r="D80" t="inlineStr">
        <is>
          <t>Medios</t>
        </is>
      </c>
      <c r="E80" t="inlineStr">
        <is>
          <t>Chile</t>
        </is>
      </c>
      <c r="F80" t="inlineStr">
        <is>
          <t>Anuncios internet</t>
        </is>
      </c>
      <c r="G80" t="inlineStr">
        <is>
          <t>Suscripción mensual</t>
        </is>
      </c>
      <c r="H80" t="inlineStr">
        <is>
          <t>Intranet comercial</t>
        </is>
      </c>
      <c r="I80" t="n">
        <v>16</v>
      </c>
      <c r="J80" s="5" t="n">
        <v>561.59</v>
      </c>
      <c r="K80" s="5">
        <f>ROUND(I80*J80,2)</f>
        <v/>
      </c>
      <c r="L80" s="3" t="n">
        <v>0.05</v>
      </c>
      <c r="M80" s="5">
        <f>ROUND(K80*(1-L80),2)</f>
        <v/>
      </c>
      <c r="N80" s="5" t="n">
        <v>2670.9</v>
      </c>
      <c r="O80" s="5">
        <f>ROUND(M80-N80,2)</f>
        <v/>
      </c>
      <c r="P80" t="inlineStr">
        <is>
          <t>Emitida</t>
        </is>
      </c>
    </row>
    <row r="81">
      <c r="A81" t="inlineStr">
        <is>
          <t>ING-0080</t>
        </is>
      </c>
      <c r="B81" s="2" t="n">
        <v>45678</v>
      </c>
      <c r="C81" t="inlineStr">
        <is>
          <t>EcoLogística</t>
        </is>
      </c>
      <c r="D81" t="inlineStr">
        <is>
          <t>Legal</t>
        </is>
      </c>
      <c r="E81" t="inlineStr">
        <is>
          <t>Chile</t>
        </is>
      </c>
      <c r="F81" t="inlineStr">
        <is>
          <t>Mantenimiento web</t>
        </is>
      </c>
      <c r="G81" t="inlineStr">
        <is>
          <t>Campaña</t>
        </is>
      </c>
      <c r="H81" t="inlineStr">
        <is>
          <t>Intranet operaciones</t>
        </is>
      </c>
      <c r="I81" t="n">
        <v>8</v>
      </c>
      <c r="J81" s="5" t="n">
        <v>2804.01</v>
      </c>
      <c r="K81" s="5">
        <f>ROUND(I81*J81,2)</f>
        <v/>
      </c>
      <c r="L81" s="3" t="n">
        <v>0.1</v>
      </c>
      <c r="M81" s="5">
        <f>ROUND(K81*(1-L81),2)</f>
        <v/>
      </c>
      <c r="N81" s="5" t="n">
        <v>10334.06</v>
      </c>
      <c r="O81" s="5">
        <f>ROUND(M81-N81,2)</f>
        <v/>
      </c>
      <c r="P81" t="inlineStr">
        <is>
          <t>Pendiente</t>
        </is>
      </c>
    </row>
    <row r="82">
      <c r="A82" t="inlineStr">
        <is>
          <t>ING-0081</t>
        </is>
      </c>
      <c r="B82" s="2" t="n">
        <v>45676</v>
      </c>
      <c r="C82" t="inlineStr">
        <is>
          <t>Ayuntamiento Norte</t>
        </is>
      </c>
      <c r="D82" t="inlineStr">
        <is>
          <t>Legal</t>
        </is>
      </c>
      <c r="E82" t="inlineStr">
        <is>
          <t>Colombia</t>
        </is>
      </c>
      <c r="F82" t="inlineStr">
        <is>
          <t>Anuncios RRHH</t>
        </is>
      </c>
      <c r="G82" t="inlineStr">
        <is>
          <t>Proyecto puntual</t>
        </is>
      </c>
      <c r="H82" t="inlineStr">
        <is>
          <t>Intranet operaciones</t>
        </is>
      </c>
      <c r="I82" t="n">
        <v>20</v>
      </c>
      <c r="J82" s="5" t="n">
        <v>1838.14</v>
      </c>
      <c r="K82" s="5">
        <f>ROUND(I82*J82,2)</f>
        <v/>
      </c>
      <c r="L82" s="3" t="n">
        <v>0</v>
      </c>
      <c r="M82" s="5">
        <f>ROUND(K82*(1-L82),2)</f>
        <v/>
      </c>
      <c r="N82" s="5" t="n">
        <v>21036.28</v>
      </c>
      <c r="O82" s="5">
        <f>ROUND(M82-N82,2)</f>
        <v/>
      </c>
      <c r="P82" t="inlineStr">
        <is>
          <t>Emitida</t>
        </is>
      </c>
    </row>
    <row r="83">
      <c r="A83" t="inlineStr">
        <is>
          <t>ING-0082</t>
        </is>
      </c>
      <c r="B83" s="2" t="n">
        <v>45503</v>
      </c>
      <c r="C83" t="inlineStr">
        <is>
          <t>EcoLogística</t>
        </is>
      </c>
      <c r="D83" t="inlineStr">
        <is>
          <t>Administración pública</t>
        </is>
      </c>
      <c r="E83" t="inlineStr">
        <is>
          <t>México</t>
        </is>
      </c>
      <c r="F83" t="inlineStr">
        <is>
          <t>Mantenimiento intranets</t>
        </is>
      </c>
      <c r="G83" t="inlineStr">
        <is>
          <t>Retainer trimestral</t>
        </is>
      </c>
      <c r="H83" t="inlineStr">
        <is>
          <t>Portal corporativo</t>
        </is>
      </c>
      <c r="I83" t="n">
        <v>6</v>
      </c>
      <c r="J83" s="5" t="n">
        <v>3931.01</v>
      </c>
      <c r="K83" s="5">
        <f>ROUND(I83*J83,2)</f>
        <v/>
      </c>
      <c r="L83" s="3" t="n">
        <v>0.03</v>
      </c>
      <c r="M83" s="5">
        <f>ROUND(K83*(1-L83),2)</f>
        <v/>
      </c>
      <c r="N83" s="5" t="n">
        <v>7068.28</v>
      </c>
      <c r="O83" s="5">
        <f>ROUND(M83-N83,2)</f>
        <v/>
      </c>
      <c r="P83" t="inlineStr">
        <is>
          <t>Cobrada</t>
        </is>
      </c>
    </row>
    <row r="84">
      <c r="A84" t="inlineStr">
        <is>
          <t>ING-0083</t>
        </is>
      </c>
      <c r="B84" s="2" t="n">
        <v>45367</v>
      </c>
      <c r="C84" t="inlineStr">
        <is>
          <t>Campus One</t>
        </is>
      </c>
      <c r="D84" t="inlineStr">
        <is>
          <t>Logística</t>
        </is>
      </c>
      <c r="E84" t="inlineStr">
        <is>
          <t>Portugal</t>
        </is>
      </c>
      <c r="F84" t="inlineStr">
        <is>
          <t>Mantenimiento intranets</t>
        </is>
      </c>
      <c r="G84" t="inlineStr">
        <is>
          <t>Retainer trimestral</t>
        </is>
      </c>
      <c r="H84" t="inlineStr">
        <is>
          <t>Microsite RRHH</t>
        </is>
      </c>
      <c r="I84" t="n">
        <v>4</v>
      </c>
      <c r="J84" s="5" t="n">
        <v>2467.94</v>
      </c>
      <c r="K84" s="5">
        <f>ROUND(I84*J84,2)</f>
        <v/>
      </c>
      <c r="L84" s="3" t="n">
        <v>0</v>
      </c>
      <c r="M84" s="5">
        <f>ROUND(K84*(1-L84),2)</f>
        <v/>
      </c>
      <c r="N84" s="5" t="n">
        <v>5178.07</v>
      </c>
      <c r="O84" s="5">
        <f>ROUND(M84-N84,2)</f>
        <v/>
      </c>
      <c r="P84" t="inlineStr">
        <is>
          <t>Emitida</t>
        </is>
      </c>
    </row>
    <row r="85">
      <c r="A85" t="inlineStr">
        <is>
          <t>ING-0084</t>
        </is>
      </c>
      <c r="B85" s="2" t="n">
        <v>45656</v>
      </c>
      <c r="C85" t="inlineStr">
        <is>
          <t>Campus One</t>
        </is>
      </c>
      <c r="D85" t="inlineStr">
        <is>
          <t>Tecnología</t>
        </is>
      </c>
      <c r="E85" t="inlineStr">
        <is>
          <t>Portugal</t>
        </is>
      </c>
      <c r="F85" t="inlineStr">
        <is>
          <t>Mantenimiento web</t>
        </is>
      </c>
      <c r="G85" t="inlineStr">
        <is>
          <t>Campaña</t>
        </is>
      </c>
      <c r="H85" t="inlineStr">
        <is>
          <t>Sección noticias</t>
        </is>
      </c>
      <c r="I85" t="n">
        <v>8</v>
      </c>
      <c r="J85" s="5" t="n">
        <v>1810.51</v>
      </c>
      <c r="K85" s="5">
        <f>ROUND(I85*J85,2)</f>
        <v/>
      </c>
      <c r="L85" s="3" t="n">
        <v>0.05</v>
      </c>
      <c r="M85" s="5">
        <f>ROUND(K85*(1-L85),2)</f>
        <v/>
      </c>
      <c r="N85" s="5" t="n">
        <v>6107.55</v>
      </c>
      <c r="O85" s="5">
        <f>ROUND(M85-N85,2)</f>
        <v/>
      </c>
      <c r="P85" t="inlineStr">
        <is>
          <t>Emitida</t>
        </is>
      </c>
    </row>
    <row r="86">
      <c r="A86" t="inlineStr">
        <is>
          <t>ING-0085</t>
        </is>
      </c>
      <c r="B86" s="2" t="n">
        <v>45530</v>
      </c>
      <c r="C86" t="inlineStr">
        <is>
          <t>EcoLogística</t>
        </is>
      </c>
      <c r="D86" t="inlineStr">
        <is>
          <t>Medios</t>
        </is>
      </c>
      <c r="E86" t="inlineStr">
        <is>
          <t>Colombia</t>
        </is>
      </c>
      <c r="F86" t="inlineStr">
        <is>
          <t>Mantenimiento intranets</t>
        </is>
      </c>
      <c r="G86" t="inlineStr">
        <is>
          <t>Suscripción mensual</t>
        </is>
      </c>
      <c r="H86" t="inlineStr">
        <is>
          <t>Centro de prensa</t>
        </is>
      </c>
      <c r="I86" t="n">
        <v>2</v>
      </c>
      <c r="J86" s="5" t="n">
        <v>1963.51</v>
      </c>
      <c r="K86" s="5">
        <f>ROUND(I86*J86,2)</f>
        <v/>
      </c>
      <c r="L86" s="3" t="n">
        <v>0.03</v>
      </c>
      <c r="M86" s="5">
        <f>ROUND(K86*(1-L86),2)</f>
        <v/>
      </c>
      <c r="N86" s="5" t="n">
        <v>1071.45</v>
      </c>
      <c r="O86" s="5">
        <f>ROUND(M86-N86,2)</f>
        <v/>
      </c>
      <c r="P86" t="inlineStr">
        <is>
          <t>Pendiente</t>
        </is>
      </c>
    </row>
    <row r="87">
      <c r="A87" t="inlineStr">
        <is>
          <t>ING-0086</t>
        </is>
      </c>
      <c r="B87" s="2" t="n">
        <v>45537</v>
      </c>
      <c r="C87" t="inlineStr">
        <is>
          <t>EducaPro</t>
        </is>
      </c>
      <c r="D87" t="inlineStr">
        <is>
          <t>Tecnología</t>
        </is>
      </c>
      <c r="E87" t="inlineStr">
        <is>
          <t>México</t>
        </is>
      </c>
      <c r="F87" t="inlineStr">
        <is>
          <t>Anuncios TV</t>
        </is>
      </c>
      <c r="G87" t="inlineStr">
        <is>
          <t>Proyecto puntual</t>
        </is>
      </c>
      <c r="H87" t="inlineStr">
        <is>
          <t>Centro de prensa</t>
        </is>
      </c>
      <c r="I87" t="n">
        <v>3</v>
      </c>
      <c r="J87" s="5" t="n">
        <v>2344.85</v>
      </c>
      <c r="K87" s="5">
        <f>ROUND(I87*J87,2)</f>
        <v/>
      </c>
      <c r="L87" s="3" t="n">
        <v>0.08</v>
      </c>
      <c r="M87" s="5">
        <f>ROUND(K87*(1-L87),2)</f>
        <v/>
      </c>
      <c r="N87" s="5" t="n">
        <v>4386.11</v>
      </c>
      <c r="O87" s="5">
        <f>ROUND(M87-N87,2)</f>
        <v/>
      </c>
      <c r="P87" t="inlineStr">
        <is>
          <t>Emitida</t>
        </is>
      </c>
    </row>
    <row r="88">
      <c r="A88" t="inlineStr">
        <is>
          <t>ING-0087</t>
        </is>
      </c>
      <c r="B88" s="2" t="n">
        <v>45322</v>
      </c>
      <c r="C88" t="inlineStr">
        <is>
          <t>Grupo Atlas</t>
        </is>
      </c>
      <c r="D88" t="inlineStr">
        <is>
          <t>Legal</t>
        </is>
      </c>
      <c r="E88" t="inlineStr">
        <is>
          <t>Portugal</t>
        </is>
      </c>
      <c r="F88" t="inlineStr">
        <is>
          <t>Mantenimiento web</t>
        </is>
      </c>
      <c r="G88" t="inlineStr">
        <is>
          <t>Soporte anual</t>
        </is>
      </c>
      <c r="H88" t="inlineStr">
        <is>
          <t>Portal internacional</t>
        </is>
      </c>
      <c r="I88" t="n">
        <v>3</v>
      </c>
      <c r="J88" s="5" t="n">
        <v>3579.62</v>
      </c>
      <c r="K88" s="5">
        <f>ROUND(I88*J88,2)</f>
        <v/>
      </c>
      <c r="L88" s="3" t="n">
        <v>0</v>
      </c>
      <c r="M88" s="5">
        <f>ROUND(K88*(1-L88),2)</f>
        <v/>
      </c>
      <c r="N88" s="5" t="n">
        <v>5277.97</v>
      </c>
      <c r="O88" s="5">
        <f>ROUND(M88-N88,2)</f>
        <v/>
      </c>
      <c r="P88" t="inlineStr">
        <is>
          <t>Cobrada</t>
        </is>
      </c>
    </row>
    <row r="89">
      <c r="A89" t="inlineStr">
        <is>
          <t>ING-0088</t>
        </is>
      </c>
      <c r="B89" s="2" t="n">
        <v>45459</v>
      </c>
      <c r="C89" t="inlineStr">
        <is>
          <t>Fundación Horizonte</t>
        </is>
      </c>
      <c r="D89" t="inlineStr">
        <is>
          <t>Tecnología</t>
        </is>
      </c>
      <c r="E89" t="inlineStr">
        <is>
          <t>España</t>
        </is>
      </c>
      <c r="F89" t="inlineStr">
        <is>
          <t>Anuncios prensa</t>
        </is>
      </c>
      <c r="G89" t="inlineStr">
        <is>
          <t>Soporte anual</t>
        </is>
      </c>
      <c r="H89" t="inlineStr">
        <is>
          <t>Intranet comercial</t>
        </is>
      </c>
      <c r="I89" t="n">
        <v>27</v>
      </c>
      <c r="J89" s="5" t="n">
        <v>1590.38</v>
      </c>
      <c r="K89" s="5">
        <f>ROUND(I89*J89,2)</f>
        <v/>
      </c>
      <c r="L89" s="3" t="n">
        <v>0.05</v>
      </c>
      <c r="M89" s="5">
        <f>ROUND(K89*(1-L89),2)</f>
        <v/>
      </c>
      <c r="N89" s="5" t="n">
        <v>17140.77</v>
      </c>
      <c r="O89" s="5">
        <f>ROUND(M89-N89,2)</f>
        <v/>
      </c>
      <c r="P89" t="inlineStr">
        <is>
          <t>Cobrada</t>
        </is>
      </c>
    </row>
    <row r="90">
      <c r="A90" t="inlineStr">
        <is>
          <t>ING-0089</t>
        </is>
      </c>
      <c r="B90" s="2" t="n">
        <v>45675</v>
      </c>
      <c r="C90" t="inlineStr">
        <is>
          <t>Retail Vision</t>
        </is>
      </c>
      <c r="D90" t="inlineStr">
        <is>
          <t>Legal</t>
        </is>
      </c>
      <c r="E90" t="inlineStr">
        <is>
          <t>España</t>
        </is>
      </c>
      <c r="F90" t="inlineStr">
        <is>
          <t>Anuncios prensa</t>
        </is>
      </c>
      <c r="G90" t="inlineStr">
        <is>
          <t>Proyecto puntual</t>
        </is>
      </c>
      <c r="H90" t="inlineStr">
        <is>
          <t>Microsite RRHH</t>
        </is>
      </c>
      <c r="I90" t="n">
        <v>3</v>
      </c>
      <c r="J90" s="5" t="n">
        <v>1715.85</v>
      </c>
      <c r="K90" s="5">
        <f>ROUND(I90*J90,2)</f>
        <v/>
      </c>
      <c r="L90" s="3" t="n">
        <v>0.03</v>
      </c>
      <c r="M90" s="5">
        <f>ROUND(K90*(1-L90),2)</f>
        <v/>
      </c>
      <c r="N90" s="5" t="n">
        <v>2499.84</v>
      </c>
      <c r="O90" s="5">
        <f>ROUND(M90-N90,2)</f>
        <v/>
      </c>
      <c r="P90" t="inlineStr">
        <is>
          <t>Pendiente</t>
        </is>
      </c>
    </row>
    <row r="91">
      <c r="A91" t="inlineStr">
        <is>
          <t>ING-0090</t>
        </is>
      </c>
      <c r="B91" s="2" t="n">
        <v>45339</v>
      </c>
      <c r="C91" t="inlineStr">
        <is>
          <t>Smart Factory</t>
        </is>
      </c>
      <c r="D91" t="inlineStr">
        <is>
          <t>Administración pública</t>
        </is>
      </c>
      <c r="E91" t="inlineStr">
        <is>
          <t>México</t>
        </is>
      </c>
      <c r="F91" t="inlineStr">
        <is>
          <t>Anuncios internet</t>
        </is>
      </c>
      <c r="G91" t="inlineStr">
        <is>
          <t>Campaña</t>
        </is>
      </c>
      <c r="H91" t="inlineStr">
        <is>
          <t>Campaña empleo</t>
        </is>
      </c>
      <c r="I91" t="n">
        <v>6</v>
      </c>
      <c r="J91" s="5" t="n">
        <v>484.2</v>
      </c>
      <c r="K91" s="5">
        <f>ROUND(I91*J91,2)</f>
        <v/>
      </c>
      <c r="L91" s="3" t="n">
        <v>0</v>
      </c>
      <c r="M91" s="5">
        <f>ROUND(K91*(1-L91),2)</f>
        <v/>
      </c>
      <c r="N91" s="5" t="n">
        <v>1869.33</v>
      </c>
      <c r="O91" s="5">
        <f>ROUND(M91-N91,2)</f>
        <v/>
      </c>
      <c r="P91" t="inlineStr">
        <is>
          <t>Emitida</t>
        </is>
      </c>
    </row>
    <row r="92">
      <c r="A92" t="inlineStr">
        <is>
          <t>ING-0091</t>
        </is>
      </c>
      <c r="B92" s="2" t="n">
        <v>45505</v>
      </c>
      <c r="C92" t="inlineStr">
        <is>
          <t>FinanData</t>
        </is>
      </c>
      <c r="D92" t="inlineStr">
        <is>
          <t>Administración pública</t>
        </is>
      </c>
      <c r="E92" t="inlineStr">
        <is>
          <t>Chile</t>
        </is>
      </c>
      <c r="F92" t="inlineStr">
        <is>
          <t>Generación de noticias</t>
        </is>
      </c>
      <c r="G92" t="inlineStr">
        <is>
          <t>Soporte anual</t>
        </is>
      </c>
      <c r="H92" t="inlineStr">
        <is>
          <t>Centro de prensa</t>
        </is>
      </c>
      <c r="I92" t="n">
        <v>22</v>
      </c>
      <c r="J92" s="5" t="n">
        <v>67.23</v>
      </c>
      <c r="K92" s="5">
        <f>ROUND(I92*J92,2)</f>
        <v/>
      </c>
      <c r="L92" s="3" t="n">
        <v>0</v>
      </c>
      <c r="M92" s="5">
        <f>ROUND(K92*(1-L92),2)</f>
        <v/>
      </c>
      <c r="N92" s="5" t="n">
        <v>731.8200000000001</v>
      </c>
      <c r="O92" s="5">
        <f>ROUND(M92-N92,2)</f>
        <v/>
      </c>
      <c r="P92" t="inlineStr">
        <is>
          <t>Emitida</t>
        </is>
      </c>
    </row>
    <row r="93">
      <c r="A93" t="inlineStr">
        <is>
          <t>ING-0092</t>
        </is>
      </c>
      <c r="B93" s="2" t="n">
        <v>45694</v>
      </c>
      <c r="C93" t="inlineStr">
        <is>
          <t>EducaPro</t>
        </is>
      </c>
      <c r="D93" t="inlineStr">
        <is>
          <t>Finanzas</t>
        </is>
      </c>
      <c r="E93" t="inlineStr">
        <is>
          <t>Colombia</t>
        </is>
      </c>
      <c r="F93" t="inlineStr">
        <is>
          <t>Traducciones</t>
        </is>
      </c>
      <c r="G93" t="inlineStr">
        <is>
          <t>Proyecto puntual</t>
        </is>
      </c>
      <c r="H93" t="inlineStr">
        <is>
          <t>Intranet operaciones</t>
        </is>
      </c>
      <c r="I93" t="n">
        <v>114</v>
      </c>
      <c r="J93" s="5" t="n">
        <v>45.24</v>
      </c>
      <c r="K93" s="5">
        <f>ROUND(I93*J93,2)</f>
        <v/>
      </c>
      <c r="L93" s="3" t="n">
        <v>0</v>
      </c>
      <c r="M93" s="5">
        <f>ROUND(K93*(1-L93),2)</f>
        <v/>
      </c>
      <c r="N93" s="5" t="n">
        <v>2902.4</v>
      </c>
      <c r="O93" s="5">
        <f>ROUND(M93-N93,2)</f>
        <v/>
      </c>
      <c r="P93" t="inlineStr">
        <is>
          <t>Emitida</t>
        </is>
      </c>
    </row>
    <row r="94">
      <c r="A94" t="inlineStr">
        <is>
          <t>ING-0093</t>
        </is>
      </c>
      <c r="B94" s="2" t="n">
        <v>45532</v>
      </c>
      <c r="C94" t="inlineStr">
        <is>
          <t>Ayuntamiento Norte</t>
        </is>
      </c>
      <c r="D94" t="inlineStr">
        <is>
          <t>Logística</t>
        </is>
      </c>
      <c r="E94" t="inlineStr">
        <is>
          <t>Chile</t>
        </is>
      </c>
      <c r="F94" t="inlineStr">
        <is>
          <t>Anuncios internet</t>
        </is>
      </c>
      <c r="G94" t="inlineStr">
        <is>
          <t>Soporte anual</t>
        </is>
      </c>
      <c r="H94" t="inlineStr">
        <is>
          <t>Portal internacional</t>
        </is>
      </c>
      <c r="I94" t="n">
        <v>21</v>
      </c>
      <c r="J94" s="5" t="n">
        <v>1860.62</v>
      </c>
      <c r="K94" s="5">
        <f>ROUND(I94*J94,2)</f>
        <v/>
      </c>
      <c r="L94" s="3" t="n">
        <v>0.1</v>
      </c>
      <c r="M94" s="5">
        <f>ROUND(K94*(1-L94),2)</f>
        <v/>
      </c>
      <c r="N94" s="5" t="n">
        <v>16020.3</v>
      </c>
      <c r="O94" s="5">
        <f>ROUND(M94-N94,2)</f>
        <v/>
      </c>
      <c r="P94" t="inlineStr">
        <is>
          <t>Pendiente</t>
        </is>
      </c>
    </row>
    <row r="95">
      <c r="A95" t="inlineStr">
        <is>
          <t>ING-0094</t>
        </is>
      </c>
      <c r="B95" s="2" t="n">
        <v>45593</v>
      </c>
      <c r="C95" t="inlineStr">
        <is>
          <t>TalentHub</t>
        </is>
      </c>
      <c r="D95" t="inlineStr">
        <is>
          <t>Medios</t>
        </is>
      </c>
      <c r="E95" t="inlineStr">
        <is>
          <t>México</t>
        </is>
      </c>
      <c r="F95" t="inlineStr">
        <is>
          <t>Anuncios RRHH</t>
        </is>
      </c>
      <c r="G95" t="inlineStr">
        <is>
          <t>Soporte anual</t>
        </is>
      </c>
      <c r="H95" t="inlineStr">
        <is>
          <t>Campaña empleo</t>
        </is>
      </c>
      <c r="I95" t="n">
        <v>6</v>
      </c>
      <c r="J95" s="5" t="n">
        <v>1719.22</v>
      </c>
      <c r="K95" s="5">
        <f>ROUND(I95*J95,2)</f>
        <v/>
      </c>
      <c r="L95" s="3" t="n">
        <v>0</v>
      </c>
      <c r="M95" s="5">
        <f>ROUND(K95*(1-L95),2)</f>
        <v/>
      </c>
      <c r="N95" s="5" t="n">
        <v>6284.13</v>
      </c>
      <c r="O95" s="5">
        <f>ROUND(M95-N95,2)</f>
        <v/>
      </c>
      <c r="P95" t="inlineStr">
        <is>
          <t>Emitida</t>
        </is>
      </c>
    </row>
    <row r="96">
      <c r="A96" t="inlineStr">
        <is>
          <t>ING-0095</t>
        </is>
      </c>
      <c r="B96" s="2" t="n">
        <v>45547</v>
      </c>
      <c r="C96" t="inlineStr">
        <is>
          <t>EcoLogística</t>
        </is>
      </c>
      <c r="D96" t="inlineStr">
        <is>
          <t>Salud</t>
        </is>
      </c>
      <c r="E96" t="inlineStr">
        <is>
          <t>Chile</t>
        </is>
      </c>
      <c r="F96" t="inlineStr">
        <is>
          <t>Anuncios prensa</t>
        </is>
      </c>
      <c r="G96" t="inlineStr">
        <is>
          <t>Retainer trimestral</t>
        </is>
      </c>
      <c r="H96" t="inlineStr">
        <is>
          <t>Centro de prensa</t>
        </is>
      </c>
      <c r="I96" t="n">
        <v>10</v>
      </c>
      <c r="J96" s="5" t="n">
        <v>921.16</v>
      </c>
      <c r="K96" s="5">
        <f>ROUND(I96*J96,2)</f>
        <v/>
      </c>
      <c r="L96" s="3" t="n">
        <v>0</v>
      </c>
      <c r="M96" s="5">
        <f>ROUND(K96*(1-L96),2)</f>
        <v/>
      </c>
      <c r="N96" s="5" t="n">
        <v>4318.39</v>
      </c>
      <c r="O96" s="5">
        <f>ROUND(M96-N96,2)</f>
        <v/>
      </c>
      <c r="P96" t="inlineStr">
        <is>
          <t>Emitida</t>
        </is>
      </c>
    </row>
    <row r="97">
      <c r="A97" t="inlineStr">
        <is>
          <t>ING-0096</t>
        </is>
      </c>
      <c r="B97" s="2" t="n">
        <v>45419</v>
      </c>
      <c r="C97" t="inlineStr">
        <is>
          <t>Campus One</t>
        </is>
      </c>
      <c r="D97" t="inlineStr">
        <is>
          <t>Retail</t>
        </is>
      </c>
      <c r="E97" t="inlineStr">
        <is>
          <t>España</t>
        </is>
      </c>
      <c r="F97" t="inlineStr">
        <is>
          <t>Anuncios TV</t>
        </is>
      </c>
      <c r="G97" t="inlineStr">
        <is>
          <t>Soporte anual</t>
        </is>
      </c>
      <c r="H97" t="inlineStr">
        <is>
          <t>Portal internacional</t>
        </is>
      </c>
      <c r="I97" t="n">
        <v>29</v>
      </c>
      <c r="J97" s="5" t="n">
        <v>1991.17</v>
      </c>
      <c r="K97" s="5">
        <f>ROUND(I97*J97,2)</f>
        <v/>
      </c>
      <c r="L97" s="3" t="n">
        <v>0.05</v>
      </c>
      <c r="M97" s="5">
        <f>ROUND(K97*(1-L97),2)</f>
        <v/>
      </c>
      <c r="N97" s="5" t="n">
        <v>36304.81</v>
      </c>
      <c r="O97" s="5">
        <f>ROUND(M97-N97,2)</f>
        <v/>
      </c>
      <c r="P97" t="inlineStr">
        <is>
          <t>Pendiente</t>
        </is>
      </c>
    </row>
    <row r="98">
      <c r="A98" t="inlineStr">
        <is>
          <t>ING-0097</t>
        </is>
      </c>
      <c r="B98" s="2" t="n">
        <v>45375</v>
      </c>
      <c r="C98" t="inlineStr">
        <is>
          <t>Smart Factory</t>
        </is>
      </c>
      <c r="D98" t="inlineStr">
        <is>
          <t>Industria</t>
        </is>
      </c>
      <c r="E98" t="inlineStr">
        <is>
          <t>España</t>
        </is>
      </c>
      <c r="F98" t="inlineStr">
        <is>
          <t>Anuncios prensa</t>
        </is>
      </c>
      <c r="G98" t="inlineStr">
        <is>
          <t>Retainer trimestral</t>
        </is>
      </c>
      <c r="H98" t="inlineStr">
        <is>
          <t>Portal corporativo</t>
        </is>
      </c>
      <c r="I98" t="n">
        <v>20</v>
      </c>
      <c r="J98" s="5" t="n">
        <v>928.35</v>
      </c>
      <c r="K98" s="5">
        <f>ROUND(I98*J98,2)</f>
        <v/>
      </c>
      <c r="L98" s="3" t="n">
        <v>0.05</v>
      </c>
      <c r="M98" s="5">
        <f>ROUND(K98*(1-L98),2)</f>
        <v/>
      </c>
      <c r="N98" s="5" t="n">
        <v>5289.48</v>
      </c>
      <c r="O98" s="5">
        <f>ROUND(M98-N98,2)</f>
        <v/>
      </c>
      <c r="P98" t="inlineStr">
        <is>
          <t>Cobrada</t>
        </is>
      </c>
    </row>
    <row r="99">
      <c r="A99" t="inlineStr">
        <is>
          <t>ING-0098</t>
        </is>
      </c>
      <c r="B99" s="2" t="n">
        <v>45481</v>
      </c>
      <c r="C99" t="inlineStr">
        <is>
          <t>Innova Retail</t>
        </is>
      </c>
      <c r="D99" t="inlineStr">
        <is>
          <t>Turismo</t>
        </is>
      </c>
      <c r="E99" t="inlineStr">
        <is>
          <t>Portugal</t>
        </is>
      </c>
      <c r="F99" t="inlineStr">
        <is>
          <t>Anuncios prensa</t>
        </is>
      </c>
      <c r="G99" t="inlineStr">
        <is>
          <t>Campaña</t>
        </is>
      </c>
      <c r="H99" t="inlineStr">
        <is>
          <t>Intranet operaciones</t>
        </is>
      </c>
      <c r="I99" t="n">
        <v>15</v>
      </c>
      <c r="J99" s="5" t="n">
        <v>1261.96</v>
      </c>
      <c r="K99" s="5">
        <f>ROUND(I99*J99,2)</f>
        <v/>
      </c>
      <c r="L99" s="3" t="n">
        <v>0.05</v>
      </c>
      <c r="M99" s="5">
        <f>ROUND(K99*(1-L99),2)</f>
        <v/>
      </c>
      <c r="N99" s="5" t="n">
        <v>4981.38</v>
      </c>
      <c r="O99" s="5">
        <f>ROUND(M99-N99,2)</f>
        <v/>
      </c>
      <c r="P99" t="inlineStr">
        <is>
          <t>Pendiente</t>
        </is>
      </c>
    </row>
    <row r="100">
      <c r="A100" t="inlineStr">
        <is>
          <t>ING-0099</t>
        </is>
      </c>
      <c r="B100" s="2" t="n">
        <v>45604</v>
      </c>
      <c r="C100" t="inlineStr">
        <is>
          <t>TurisWorld</t>
        </is>
      </c>
      <c r="D100" t="inlineStr">
        <is>
          <t>Tecnología</t>
        </is>
      </c>
      <c r="E100" t="inlineStr">
        <is>
          <t>Portugal</t>
        </is>
      </c>
      <c r="F100" t="inlineStr">
        <is>
          <t>Mantenimiento intranets</t>
        </is>
      </c>
      <c r="G100" t="inlineStr">
        <is>
          <t>Soporte anual</t>
        </is>
      </c>
      <c r="H100" t="inlineStr">
        <is>
          <t>Portal internacional</t>
        </is>
      </c>
      <c r="I100" t="n">
        <v>7</v>
      </c>
      <c r="J100" s="5" t="n">
        <v>3958.02</v>
      </c>
      <c r="K100" s="5">
        <f>ROUND(I100*J100,2)</f>
        <v/>
      </c>
      <c r="L100" s="3" t="n">
        <v>0.08</v>
      </c>
      <c r="M100" s="5">
        <f>ROUND(K100*(1-L100),2)</f>
        <v/>
      </c>
      <c r="N100" s="5" t="n">
        <v>10339.41</v>
      </c>
      <c r="O100" s="5">
        <f>ROUND(M100-N100,2)</f>
        <v/>
      </c>
      <c r="P100" t="inlineStr">
        <is>
          <t>Cobrada</t>
        </is>
      </c>
    </row>
    <row r="101">
      <c r="A101" t="inlineStr">
        <is>
          <t>ING-0100</t>
        </is>
      </c>
      <c r="B101" s="2" t="n">
        <v>45368</v>
      </c>
      <c r="C101" t="inlineStr">
        <is>
          <t>Prensa Local 24</t>
        </is>
      </c>
      <c r="D101" t="inlineStr">
        <is>
          <t>Administración pública</t>
        </is>
      </c>
      <c r="E101" t="inlineStr">
        <is>
          <t>Colombia</t>
        </is>
      </c>
      <c r="F101" t="inlineStr">
        <is>
          <t>Traducciones</t>
        </is>
      </c>
      <c r="G101" t="inlineStr">
        <is>
          <t>Suscripción mensual</t>
        </is>
      </c>
      <c r="H101" t="inlineStr">
        <is>
          <t>Sección noticias</t>
        </is>
      </c>
      <c r="I101" t="n">
        <v>15</v>
      </c>
      <c r="J101" s="5" t="n">
        <v>51.52</v>
      </c>
      <c r="K101" s="5">
        <f>ROUND(I101*J101,2)</f>
        <v/>
      </c>
      <c r="L101" s="3" t="n">
        <v>0</v>
      </c>
      <c r="M101" s="5">
        <f>ROUND(K101*(1-L101),2)</f>
        <v/>
      </c>
      <c r="N101" s="5" t="n">
        <v>438.28</v>
      </c>
      <c r="O101" s="5">
        <f>ROUND(M101-N101,2)</f>
        <v/>
      </c>
      <c r="P101" t="inlineStr">
        <is>
          <t>Emitida</t>
        </is>
      </c>
    </row>
    <row r="102">
      <c r="A102" t="inlineStr">
        <is>
          <t>ING-0101</t>
        </is>
      </c>
      <c r="B102" s="2" t="n">
        <v>45479</v>
      </c>
      <c r="C102" t="inlineStr">
        <is>
          <t>Industrias Vega</t>
        </is>
      </c>
      <c r="D102" t="inlineStr">
        <is>
          <t>Medios</t>
        </is>
      </c>
      <c r="E102" t="inlineStr">
        <is>
          <t>Chile</t>
        </is>
      </c>
      <c r="F102" t="inlineStr">
        <is>
          <t>Anuncios internet</t>
        </is>
      </c>
      <c r="G102" t="inlineStr">
        <is>
          <t>Suscripción mensual</t>
        </is>
      </c>
      <c r="H102" t="inlineStr">
        <is>
          <t>Portal corporativo</t>
        </is>
      </c>
      <c r="I102" t="n">
        <v>3</v>
      </c>
      <c r="J102" s="5" t="n">
        <v>463.69</v>
      </c>
      <c r="K102" s="5">
        <f>ROUND(I102*J102,2)</f>
        <v/>
      </c>
      <c r="L102" s="3" t="n">
        <v>0</v>
      </c>
      <c r="M102" s="5">
        <f>ROUND(K102*(1-L102),2)</f>
        <v/>
      </c>
      <c r="N102" s="5" t="n">
        <v>936.17</v>
      </c>
      <c r="O102" s="5">
        <f>ROUND(M102-N102,2)</f>
        <v/>
      </c>
      <c r="P102" t="inlineStr">
        <is>
          <t>Cobrada</t>
        </is>
      </c>
    </row>
    <row r="103">
      <c r="A103" t="inlineStr">
        <is>
          <t>ING-0102</t>
        </is>
      </c>
      <c r="B103" s="2" t="n">
        <v>45312</v>
      </c>
      <c r="C103" t="inlineStr">
        <is>
          <t>Smart Factory</t>
        </is>
      </c>
      <c r="D103" t="inlineStr">
        <is>
          <t>Salud</t>
        </is>
      </c>
      <c r="E103" t="inlineStr">
        <is>
          <t>Portugal</t>
        </is>
      </c>
      <c r="F103" t="inlineStr">
        <is>
          <t>Anuncios RRHH</t>
        </is>
      </c>
      <c r="G103" t="inlineStr">
        <is>
          <t>Proyecto puntual</t>
        </is>
      </c>
      <c r="H103" t="inlineStr">
        <is>
          <t>Microsite RRHH</t>
        </is>
      </c>
      <c r="I103" t="n">
        <v>3</v>
      </c>
      <c r="J103" s="5" t="n">
        <v>2491.34</v>
      </c>
      <c r="K103" s="5">
        <f>ROUND(I103*J103,2)</f>
        <v/>
      </c>
      <c r="L103" s="3" t="n">
        <v>0.05</v>
      </c>
      <c r="M103" s="5">
        <f>ROUND(K103*(1-L103),2)</f>
        <v/>
      </c>
      <c r="N103" s="5" t="n">
        <v>2133.15</v>
      </c>
      <c r="O103" s="5">
        <f>ROUND(M103-N103,2)</f>
        <v/>
      </c>
      <c r="P103" t="inlineStr">
        <is>
          <t>Emitida</t>
        </is>
      </c>
    </row>
    <row r="104">
      <c r="A104" t="inlineStr">
        <is>
          <t>ING-0103</t>
        </is>
      </c>
      <c r="B104" s="2" t="n">
        <v>45717</v>
      </c>
      <c r="C104" t="inlineStr">
        <is>
          <t>Smart Factory</t>
        </is>
      </c>
      <c r="D104" t="inlineStr">
        <is>
          <t>Turismo</t>
        </is>
      </c>
      <c r="E104" t="inlineStr">
        <is>
          <t>Portugal</t>
        </is>
      </c>
      <c r="F104" t="inlineStr">
        <is>
          <t>Generación de noticias</t>
        </is>
      </c>
      <c r="G104" t="inlineStr">
        <is>
          <t>Suscripción mensual</t>
        </is>
      </c>
      <c r="H104" t="inlineStr">
        <is>
          <t>Intranet operaciones</t>
        </is>
      </c>
      <c r="I104" t="n">
        <v>42</v>
      </c>
      <c r="J104" s="5" t="n">
        <v>126.16</v>
      </c>
      <c r="K104" s="5">
        <f>ROUND(I104*J104,2)</f>
        <v/>
      </c>
      <c r="L104" s="3" t="n">
        <v>0.08</v>
      </c>
      <c r="M104" s="5">
        <f>ROUND(K104*(1-L104),2)</f>
        <v/>
      </c>
      <c r="N104" s="5" t="n">
        <v>2523.36</v>
      </c>
      <c r="O104" s="5">
        <f>ROUND(M104-N104,2)</f>
        <v/>
      </c>
      <c r="P104" t="inlineStr">
        <is>
          <t>Cobrada</t>
        </is>
      </c>
    </row>
    <row r="105">
      <c r="A105" t="inlineStr">
        <is>
          <t>ING-0104</t>
        </is>
      </c>
      <c r="B105" s="2" t="n">
        <v>45437</v>
      </c>
      <c r="C105" t="inlineStr">
        <is>
          <t>Nova Salud</t>
        </is>
      </c>
      <c r="D105" t="inlineStr">
        <is>
          <t>Administración pública</t>
        </is>
      </c>
      <c r="E105" t="inlineStr">
        <is>
          <t>México</t>
        </is>
      </c>
      <c r="F105" t="inlineStr">
        <is>
          <t>Publicación de noticias</t>
        </is>
      </c>
      <c r="G105" t="inlineStr">
        <is>
          <t>Proyecto puntual</t>
        </is>
      </c>
      <c r="H105" t="inlineStr">
        <is>
          <t>Intranet operaciones</t>
        </is>
      </c>
      <c r="I105" t="n">
        <v>17</v>
      </c>
      <c r="J105" s="5" t="n">
        <v>109.5</v>
      </c>
      <c r="K105" s="5">
        <f>ROUND(I105*J105,2)</f>
        <v/>
      </c>
      <c r="L105" s="3" t="n">
        <v>0.05</v>
      </c>
      <c r="M105" s="5">
        <f>ROUND(K105*(1-L105),2)</f>
        <v/>
      </c>
      <c r="N105" s="5" t="n">
        <v>644.5</v>
      </c>
      <c r="O105" s="5">
        <f>ROUND(M105-N105,2)</f>
        <v/>
      </c>
      <c r="P105" t="inlineStr">
        <is>
          <t>Cobrada</t>
        </is>
      </c>
    </row>
    <row r="106">
      <c r="A106" t="inlineStr">
        <is>
          <t>ING-0105</t>
        </is>
      </c>
      <c r="B106" s="2" t="n">
        <v>45506</v>
      </c>
      <c r="C106" t="inlineStr">
        <is>
          <t>BioMedic</t>
        </is>
      </c>
      <c r="D106" t="inlineStr">
        <is>
          <t>Turismo</t>
        </is>
      </c>
      <c r="E106" t="inlineStr">
        <is>
          <t>México</t>
        </is>
      </c>
      <c r="F106" t="inlineStr">
        <is>
          <t>Anuncios TV</t>
        </is>
      </c>
      <c r="G106" t="inlineStr">
        <is>
          <t>Proyecto puntual</t>
        </is>
      </c>
      <c r="H106" t="inlineStr">
        <is>
          <t>Campaña empleo</t>
        </is>
      </c>
      <c r="I106" t="n">
        <v>11</v>
      </c>
      <c r="J106" s="5" t="n">
        <v>1685.7</v>
      </c>
      <c r="K106" s="5">
        <f>ROUND(I106*J106,2)</f>
        <v/>
      </c>
      <c r="L106" s="3" t="n">
        <v>0.05</v>
      </c>
      <c r="M106" s="5">
        <f>ROUND(K106*(1-L106),2)</f>
        <v/>
      </c>
      <c r="N106" s="5" t="n">
        <v>11131.08</v>
      </c>
      <c r="O106" s="5">
        <f>ROUND(M106-N106,2)</f>
        <v/>
      </c>
      <c r="P106" t="inlineStr">
        <is>
          <t>Emitida</t>
        </is>
      </c>
    </row>
    <row r="107">
      <c r="A107" t="inlineStr">
        <is>
          <t>ING-0106</t>
        </is>
      </c>
      <c r="B107" s="2" t="n">
        <v>45367</v>
      </c>
      <c r="C107" t="inlineStr">
        <is>
          <t>Innova Retail</t>
        </is>
      </c>
      <c r="D107" t="inlineStr">
        <is>
          <t>Industria</t>
        </is>
      </c>
      <c r="E107" t="inlineStr">
        <is>
          <t>Portugal</t>
        </is>
      </c>
      <c r="F107" t="inlineStr">
        <is>
          <t>Publicación de noticias</t>
        </is>
      </c>
      <c r="G107" t="inlineStr">
        <is>
          <t>Proyecto puntual</t>
        </is>
      </c>
      <c r="H107" t="inlineStr">
        <is>
          <t>Intranet comercial</t>
        </is>
      </c>
      <c r="I107" t="n">
        <v>15</v>
      </c>
      <c r="J107" s="5" t="n">
        <v>48.22</v>
      </c>
      <c r="K107" s="5">
        <f>ROUND(I107*J107,2)</f>
        <v/>
      </c>
      <c r="L107" s="3" t="n">
        <v>0.03</v>
      </c>
      <c r="M107" s="5">
        <f>ROUND(K107*(1-L107),2)</f>
        <v/>
      </c>
      <c r="N107" s="5" t="n">
        <v>453.06</v>
      </c>
      <c r="O107" s="5">
        <f>ROUND(M107-N107,2)</f>
        <v/>
      </c>
      <c r="P107" t="inlineStr">
        <is>
          <t>Cobrada</t>
        </is>
      </c>
    </row>
    <row r="108">
      <c r="A108" t="inlineStr">
        <is>
          <t>ING-0107</t>
        </is>
      </c>
      <c r="B108" s="2" t="n">
        <v>45354</v>
      </c>
      <c r="C108" t="inlineStr">
        <is>
          <t>Prensa Local 24</t>
        </is>
      </c>
      <c r="D108" t="inlineStr">
        <is>
          <t>RRHH</t>
        </is>
      </c>
      <c r="E108" t="inlineStr">
        <is>
          <t>Chile</t>
        </is>
      </c>
      <c r="F108" t="inlineStr">
        <is>
          <t>Anuncios RRHH</t>
        </is>
      </c>
      <c r="G108" t="inlineStr">
        <is>
          <t>Retainer trimestral</t>
        </is>
      </c>
      <c r="H108" t="inlineStr">
        <is>
          <t>Campaña empleo</t>
        </is>
      </c>
      <c r="I108" t="n">
        <v>9</v>
      </c>
      <c r="J108" s="5" t="n">
        <v>1838.81</v>
      </c>
      <c r="K108" s="5">
        <f>ROUND(I108*J108,2)</f>
        <v/>
      </c>
      <c r="L108" s="3" t="n">
        <v>0.05</v>
      </c>
      <c r="M108" s="5">
        <f>ROUND(K108*(1-L108),2)</f>
        <v/>
      </c>
      <c r="N108" s="5" t="n">
        <v>7235.23</v>
      </c>
      <c r="O108" s="5">
        <f>ROUND(M108-N108,2)</f>
        <v/>
      </c>
      <c r="P108" t="inlineStr">
        <is>
          <t>Pendiente</t>
        </is>
      </c>
    </row>
    <row r="109">
      <c r="A109" t="inlineStr">
        <is>
          <t>ING-0108</t>
        </is>
      </c>
      <c r="B109" s="2" t="n">
        <v>45317</v>
      </c>
      <c r="C109" t="inlineStr">
        <is>
          <t>Nova Salud</t>
        </is>
      </c>
      <c r="D109" t="inlineStr">
        <is>
          <t>Turismo</t>
        </is>
      </c>
      <c r="E109" t="inlineStr">
        <is>
          <t>Colombia</t>
        </is>
      </c>
      <c r="F109" t="inlineStr">
        <is>
          <t>Mantenimiento web</t>
        </is>
      </c>
      <c r="G109" t="inlineStr">
        <is>
          <t>Proyecto puntual</t>
        </is>
      </c>
      <c r="H109" t="inlineStr">
        <is>
          <t>Intranet operaciones</t>
        </is>
      </c>
      <c r="I109" t="n">
        <v>3</v>
      </c>
      <c r="J109" s="5" t="n">
        <v>2306.86</v>
      </c>
      <c r="K109" s="5">
        <f>ROUND(I109*J109,2)</f>
        <v/>
      </c>
      <c r="L109" s="3" t="n">
        <v>0.05</v>
      </c>
      <c r="M109" s="5">
        <f>ROUND(K109*(1-L109),2)</f>
        <v/>
      </c>
      <c r="N109" s="5" t="n">
        <v>2757.07</v>
      </c>
      <c r="O109" s="5">
        <f>ROUND(M109-N109,2)</f>
        <v/>
      </c>
      <c r="P109" t="inlineStr">
        <is>
          <t>Pendiente</t>
        </is>
      </c>
    </row>
    <row r="110">
      <c r="A110" t="inlineStr">
        <is>
          <t>ING-0109</t>
        </is>
      </c>
      <c r="B110" s="2" t="n">
        <v>45654</v>
      </c>
      <c r="C110" t="inlineStr">
        <is>
          <t>Legal360</t>
        </is>
      </c>
      <c r="D110" t="inlineStr">
        <is>
          <t>Medios</t>
        </is>
      </c>
      <c r="E110" t="inlineStr">
        <is>
          <t>México</t>
        </is>
      </c>
      <c r="F110" t="inlineStr">
        <is>
          <t>Anuncios prensa</t>
        </is>
      </c>
      <c r="G110" t="inlineStr">
        <is>
          <t>Soporte anual</t>
        </is>
      </c>
      <c r="H110" t="inlineStr">
        <is>
          <t>Sección noticias</t>
        </is>
      </c>
      <c r="I110" t="n">
        <v>16</v>
      </c>
      <c r="J110" s="5" t="n">
        <v>462.32</v>
      </c>
      <c r="K110" s="5">
        <f>ROUND(I110*J110,2)</f>
        <v/>
      </c>
      <c r="L110" s="3" t="n">
        <v>0</v>
      </c>
      <c r="M110" s="5">
        <f>ROUND(K110*(1-L110),2)</f>
        <v/>
      </c>
      <c r="N110" s="5" t="n">
        <v>2889.11</v>
      </c>
      <c r="O110" s="5">
        <f>ROUND(M110-N110,2)</f>
        <v/>
      </c>
      <c r="P110" t="inlineStr">
        <is>
          <t>Emitida</t>
        </is>
      </c>
    </row>
    <row r="111">
      <c r="A111" t="inlineStr">
        <is>
          <t>ING-0110</t>
        </is>
      </c>
      <c r="B111" s="2" t="n">
        <v>45367</v>
      </c>
      <c r="C111" t="inlineStr">
        <is>
          <t>Nova Salud</t>
        </is>
      </c>
      <c r="D111" t="inlineStr">
        <is>
          <t>Retail</t>
        </is>
      </c>
      <c r="E111" t="inlineStr">
        <is>
          <t>Portugal</t>
        </is>
      </c>
      <c r="F111" t="inlineStr">
        <is>
          <t>Generación de noticias</t>
        </is>
      </c>
      <c r="G111" t="inlineStr">
        <is>
          <t>Soporte anual</t>
        </is>
      </c>
      <c r="H111" t="inlineStr">
        <is>
          <t>Intranet operaciones</t>
        </is>
      </c>
      <c r="I111" t="n">
        <v>16</v>
      </c>
      <c r="J111" s="5" t="n">
        <v>108.17</v>
      </c>
      <c r="K111" s="5">
        <f>ROUND(I111*J111,2)</f>
        <v/>
      </c>
      <c r="L111" s="3" t="n">
        <v>0.03</v>
      </c>
      <c r="M111" s="5">
        <f>ROUND(K111*(1-L111),2)</f>
        <v/>
      </c>
      <c r="N111" s="5" t="n">
        <v>1168.18</v>
      </c>
      <c r="O111" s="5">
        <f>ROUND(M111-N111,2)</f>
        <v/>
      </c>
      <c r="P111" t="inlineStr">
        <is>
          <t>Emitida</t>
        </is>
      </c>
    </row>
    <row r="112">
      <c r="A112" t="inlineStr">
        <is>
          <t>ING-0111</t>
        </is>
      </c>
      <c r="B112" s="2" t="n">
        <v>45656</v>
      </c>
      <c r="C112" t="inlineStr">
        <is>
          <t>SegurPlus</t>
        </is>
      </c>
      <c r="D112" t="inlineStr">
        <is>
          <t>Logística</t>
        </is>
      </c>
      <c r="E112" t="inlineStr">
        <is>
          <t>México</t>
        </is>
      </c>
      <c r="F112" t="inlineStr">
        <is>
          <t>Publicación de noticias</t>
        </is>
      </c>
      <c r="G112" t="inlineStr">
        <is>
          <t>Retainer trimestral</t>
        </is>
      </c>
      <c r="H112" t="inlineStr">
        <is>
          <t>Portal corporativo</t>
        </is>
      </c>
      <c r="I112" t="n">
        <v>9</v>
      </c>
      <c r="J112" s="5" t="n">
        <v>147.92</v>
      </c>
      <c r="K112" s="5">
        <f>ROUND(I112*J112,2)</f>
        <v/>
      </c>
      <c r="L112" s="3" t="n">
        <v>0</v>
      </c>
      <c r="M112" s="5">
        <f>ROUND(K112*(1-L112),2)</f>
        <v/>
      </c>
      <c r="N112" s="5" t="n">
        <v>694.35</v>
      </c>
      <c r="O112" s="5">
        <f>ROUND(M112-N112,2)</f>
        <v/>
      </c>
      <c r="P112" t="inlineStr">
        <is>
          <t>Cobrada</t>
        </is>
      </c>
    </row>
    <row r="113">
      <c r="A113" t="inlineStr">
        <is>
          <t>ING-0112</t>
        </is>
      </c>
      <c r="B113" s="2" t="n">
        <v>45731</v>
      </c>
      <c r="C113" t="inlineStr">
        <is>
          <t>TalentHub</t>
        </is>
      </c>
      <c r="D113" t="inlineStr">
        <is>
          <t>Turismo</t>
        </is>
      </c>
      <c r="E113" t="inlineStr">
        <is>
          <t>Chile</t>
        </is>
      </c>
      <c r="F113" t="inlineStr">
        <is>
          <t>Anuncios TV</t>
        </is>
      </c>
      <c r="G113" t="inlineStr">
        <is>
          <t>Campaña</t>
        </is>
      </c>
      <c r="H113" t="inlineStr">
        <is>
          <t>Campaña empleo</t>
        </is>
      </c>
      <c r="I113" t="n">
        <v>8</v>
      </c>
      <c r="J113" s="5" t="n">
        <v>497.34</v>
      </c>
      <c r="K113" s="5">
        <f>ROUND(I113*J113,2)</f>
        <v/>
      </c>
      <c r="L113" s="3" t="n">
        <v>0.05</v>
      </c>
      <c r="M113" s="5">
        <f>ROUND(K113*(1-L113),2)</f>
        <v/>
      </c>
      <c r="N113" s="5" t="n">
        <v>2158.68</v>
      </c>
      <c r="O113" s="5">
        <f>ROUND(M113-N113,2)</f>
        <v/>
      </c>
      <c r="P113" t="inlineStr">
        <is>
          <t>Pendiente</t>
        </is>
      </c>
    </row>
    <row r="114">
      <c r="A114" t="inlineStr">
        <is>
          <t>ING-0113</t>
        </is>
      </c>
      <c r="B114" s="2" t="n">
        <v>45314</v>
      </c>
      <c r="C114" t="inlineStr">
        <is>
          <t>Fundación Horizonte</t>
        </is>
      </c>
      <c r="D114" t="inlineStr">
        <is>
          <t>Tecnología</t>
        </is>
      </c>
      <c r="E114" t="inlineStr">
        <is>
          <t>España</t>
        </is>
      </c>
      <c r="F114" t="inlineStr">
        <is>
          <t>Mantenimiento web</t>
        </is>
      </c>
      <c r="G114" t="inlineStr">
        <is>
          <t>Campaña</t>
        </is>
      </c>
      <c r="H114" t="inlineStr">
        <is>
          <t>Intranet comercial</t>
        </is>
      </c>
      <c r="I114" t="n">
        <v>5</v>
      </c>
      <c r="J114" s="5" t="n">
        <v>2839.65</v>
      </c>
      <c r="K114" s="5">
        <f>ROUND(I114*J114,2)</f>
        <v/>
      </c>
      <c r="L114" s="3" t="n">
        <v>0.05</v>
      </c>
      <c r="M114" s="5">
        <f>ROUND(K114*(1-L114),2)</f>
        <v/>
      </c>
      <c r="N114" s="5" t="n">
        <v>8163.75</v>
      </c>
      <c r="O114" s="5">
        <f>ROUND(M114-N114,2)</f>
        <v/>
      </c>
      <c r="P114" t="inlineStr">
        <is>
          <t>Cobrada</t>
        </is>
      </c>
    </row>
    <row r="115">
      <c r="A115" t="inlineStr">
        <is>
          <t>ING-0114</t>
        </is>
      </c>
      <c r="B115" s="2" t="n">
        <v>45594</v>
      </c>
      <c r="C115" t="inlineStr">
        <is>
          <t>BioMedic</t>
        </is>
      </c>
      <c r="D115" t="inlineStr">
        <is>
          <t>Industria</t>
        </is>
      </c>
      <c r="E115" t="inlineStr">
        <is>
          <t>México</t>
        </is>
      </c>
      <c r="F115" t="inlineStr">
        <is>
          <t>Anuncios internet</t>
        </is>
      </c>
      <c r="G115" t="inlineStr">
        <is>
          <t>Retainer trimestral</t>
        </is>
      </c>
      <c r="H115" t="inlineStr">
        <is>
          <t>Portal corporativo</t>
        </is>
      </c>
      <c r="I115" t="n">
        <v>20</v>
      </c>
      <c r="J115" s="5" t="n">
        <v>692.72</v>
      </c>
      <c r="K115" s="5">
        <f>ROUND(I115*J115,2)</f>
        <v/>
      </c>
      <c r="L115" s="3" t="n">
        <v>0</v>
      </c>
      <c r="M115" s="5">
        <f>ROUND(K115*(1-L115),2)</f>
        <v/>
      </c>
      <c r="N115" s="5" t="n">
        <v>5341.26</v>
      </c>
      <c r="O115" s="5">
        <f>ROUND(M115-N115,2)</f>
        <v/>
      </c>
      <c r="P115" t="inlineStr">
        <is>
          <t>Pendiente</t>
        </is>
      </c>
    </row>
    <row r="116">
      <c r="A116" t="inlineStr">
        <is>
          <t>ING-0115</t>
        </is>
      </c>
      <c r="B116" s="2" t="n">
        <v>45405</v>
      </c>
      <c r="C116" t="inlineStr">
        <is>
          <t>Campus One</t>
        </is>
      </c>
      <c r="D116" t="inlineStr">
        <is>
          <t>Finanzas</t>
        </is>
      </c>
      <c r="E116" t="inlineStr">
        <is>
          <t>Colombia</t>
        </is>
      </c>
      <c r="F116" t="inlineStr">
        <is>
          <t>Generación de noticias</t>
        </is>
      </c>
      <c r="G116" t="inlineStr">
        <is>
          <t>Suscripción mensual</t>
        </is>
      </c>
      <c r="H116" t="inlineStr">
        <is>
          <t>Microsite RRHH</t>
        </is>
      </c>
      <c r="I116" t="n">
        <v>38</v>
      </c>
      <c r="J116" s="5" t="n">
        <v>40.6</v>
      </c>
      <c r="K116" s="5">
        <f>ROUND(I116*J116,2)</f>
        <v/>
      </c>
      <c r="L116" s="3" t="n">
        <v>0</v>
      </c>
      <c r="M116" s="5">
        <f>ROUND(K116*(1-L116),2)</f>
        <v/>
      </c>
      <c r="N116" s="5" t="n">
        <v>537.76</v>
      </c>
      <c r="O116" s="5">
        <f>ROUND(M116-N116,2)</f>
        <v/>
      </c>
      <c r="P116" t="inlineStr">
        <is>
          <t>Emitida</t>
        </is>
      </c>
    </row>
    <row r="117">
      <c r="A117" t="inlineStr">
        <is>
          <t>ING-0116</t>
        </is>
      </c>
      <c r="B117" s="2" t="n">
        <v>45300</v>
      </c>
      <c r="C117" t="inlineStr">
        <is>
          <t>TalentHub</t>
        </is>
      </c>
      <c r="D117" t="inlineStr">
        <is>
          <t>RRHH</t>
        </is>
      </c>
      <c r="E117" t="inlineStr">
        <is>
          <t>México</t>
        </is>
      </c>
      <c r="F117" t="inlineStr">
        <is>
          <t>Generación de noticias</t>
        </is>
      </c>
      <c r="G117" t="inlineStr">
        <is>
          <t>Soporte anual</t>
        </is>
      </c>
      <c r="H117" t="inlineStr">
        <is>
          <t>Portal corporativo</t>
        </is>
      </c>
      <c r="I117" t="n">
        <v>109</v>
      </c>
      <c r="J117" s="5" t="n">
        <v>165.93</v>
      </c>
      <c r="K117" s="5">
        <f>ROUND(I117*J117,2)</f>
        <v/>
      </c>
      <c r="L117" s="3" t="n">
        <v>0.05</v>
      </c>
      <c r="M117" s="5">
        <f>ROUND(K117*(1-L117),2)</f>
        <v/>
      </c>
      <c r="N117" s="5" t="n">
        <v>11831.4</v>
      </c>
      <c r="O117" s="5">
        <f>ROUND(M117-N117,2)</f>
        <v/>
      </c>
      <c r="P117" t="inlineStr">
        <is>
          <t>Pendiente</t>
        </is>
      </c>
    </row>
    <row r="118">
      <c r="A118" t="inlineStr">
        <is>
          <t>ING-0117</t>
        </is>
      </c>
      <c r="B118" s="2" t="n">
        <v>45491</v>
      </c>
      <c r="C118" t="inlineStr">
        <is>
          <t>Prensa Local 24</t>
        </is>
      </c>
      <c r="D118" t="inlineStr">
        <is>
          <t>RRHH</t>
        </is>
      </c>
      <c r="E118" t="inlineStr">
        <is>
          <t>México</t>
        </is>
      </c>
      <c r="F118" t="inlineStr">
        <is>
          <t>Mantenimiento intranets</t>
        </is>
      </c>
      <c r="G118" t="inlineStr">
        <is>
          <t>Proyecto puntual</t>
        </is>
      </c>
      <c r="H118" t="inlineStr">
        <is>
          <t>Campaña empleo</t>
        </is>
      </c>
      <c r="I118" t="n">
        <v>5</v>
      </c>
      <c r="J118" s="5" t="n">
        <v>3706.83</v>
      </c>
      <c r="K118" s="5">
        <f>ROUND(I118*J118,2)</f>
        <v/>
      </c>
      <c r="L118" s="3" t="n">
        <v>0</v>
      </c>
      <c r="M118" s="5">
        <f>ROUND(K118*(1-L118),2)</f>
        <v/>
      </c>
      <c r="N118" s="5" t="n">
        <v>11449.48</v>
      </c>
      <c r="O118" s="5">
        <f>ROUND(M118-N118,2)</f>
        <v/>
      </c>
      <c r="P118" t="inlineStr">
        <is>
          <t>Pendiente</t>
        </is>
      </c>
    </row>
    <row r="119">
      <c r="A119" t="inlineStr">
        <is>
          <t>ING-0118</t>
        </is>
      </c>
      <c r="B119" s="2" t="n">
        <v>45302</v>
      </c>
      <c r="C119" t="inlineStr">
        <is>
          <t>Innova Retail</t>
        </is>
      </c>
      <c r="D119" t="inlineStr">
        <is>
          <t>Retail</t>
        </is>
      </c>
      <c r="E119" t="inlineStr">
        <is>
          <t>México</t>
        </is>
      </c>
      <c r="F119" t="inlineStr">
        <is>
          <t>Anuncios prensa</t>
        </is>
      </c>
      <c r="G119" t="inlineStr">
        <is>
          <t>Proyecto puntual</t>
        </is>
      </c>
      <c r="H119" t="inlineStr">
        <is>
          <t>Centro de prensa</t>
        </is>
      </c>
      <c r="I119" t="n">
        <v>12</v>
      </c>
      <c r="J119" s="5" t="n">
        <v>1670.08</v>
      </c>
      <c r="K119" s="5">
        <f>ROUND(I119*J119,2)</f>
        <v/>
      </c>
      <c r="L119" s="3" t="n">
        <v>0.1</v>
      </c>
      <c r="M119" s="5">
        <f>ROUND(K119*(1-L119),2)</f>
        <v/>
      </c>
      <c r="N119" s="5" t="n">
        <v>13167.5</v>
      </c>
      <c r="O119" s="5">
        <f>ROUND(M119-N119,2)</f>
        <v/>
      </c>
      <c r="P119" t="inlineStr">
        <is>
          <t>Cobrada</t>
        </is>
      </c>
    </row>
    <row r="120">
      <c r="A120" t="inlineStr">
        <is>
          <t>ING-0119</t>
        </is>
      </c>
      <c r="B120" s="2" t="n">
        <v>45477</v>
      </c>
      <c r="C120" t="inlineStr">
        <is>
          <t>Innova Retail</t>
        </is>
      </c>
      <c r="D120" t="inlineStr">
        <is>
          <t>Turismo</t>
        </is>
      </c>
      <c r="E120" t="inlineStr">
        <is>
          <t>México</t>
        </is>
      </c>
      <c r="F120" t="inlineStr">
        <is>
          <t>Anuncios prensa</t>
        </is>
      </c>
      <c r="G120" t="inlineStr">
        <is>
          <t>Soporte anual</t>
        </is>
      </c>
      <c r="H120" t="inlineStr">
        <is>
          <t>Intranet comercial</t>
        </is>
      </c>
      <c r="I120" t="n">
        <v>30</v>
      </c>
      <c r="J120" s="5" t="n">
        <v>1152.16</v>
      </c>
      <c r="K120" s="5">
        <f>ROUND(I120*J120,2)</f>
        <v/>
      </c>
      <c r="L120" s="3" t="n">
        <v>0</v>
      </c>
      <c r="M120" s="5">
        <f>ROUND(K120*(1-L120),2)</f>
        <v/>
      </c>
      <c r="N120" s="5" t="n">
        <v>19478.57</v>
      </c>
      <c r="O120" s="5">
        <f>ROUND(M120-N120,2)</f>
        <v/>
      </c>
      <c r="P120" t="inlineStr">
        <is>
          <t>Emitida</t>
        </is>
      </c>
    </row>
    <row r="121">
      <c r="A121" t="inlineStr">
        <is>
          <t>ING-0120</t>
        </is>
      </c>
      <c r="B121" s="2" t="n">
        <v>45680</v>
      </c>
      <c r="C121" t="inlineStr">
        <is>
          <t>Ayuntamiento Norte</t>
        </is>
      </c>
      <c r="D121" t="inlineStr">
        <is>
          <t>Retail</t>
        </is>
      </c>
      <c r="E121" t="inlineStr">
        <is>
          <t>España</t>
        </is>
      </c>
      <c r="F121" t="inlineStr">
        <is>
          <t>Traducciones</t>
        </is>
      </c>
      <c r="G121" t="inlineStr">
        <is>
          <t>Campaña</t>
        </is>
      </c>
      <c r="H121" t="inlineStr">
        <is>
          <t>Portal internacional</t>
        </is>
      </c>
      <c r="I121" t="n">
        <v>35</v>
      </c>
      <c r="J121" s="5" t="n">
        <v>49.24</v>
      </c>
      <c r="K121" s="5">
        <f>ROUND(I121*J121,2)</f>
        <v/>
      </c>
      <c r="L121" s="3" t="n">
        <v>0</v>
      </c>
      <c r="M121" s="5">
        <f>ROUND(K121*(1-L121),2)</f>
        <v/>
      </c>
      <c r="N121" s="5" t="n">
        <v>1001.67</v>
      </c>
      <c r="O121" s="5">
        <f>ROUND(M121-N121,2)</f>
        <v/>
      </c>
      <c r="P121" t="inlineStr">
        <is>
          <t>Pendiente</t>
        </is>
      </c>
    </row>
    <row r="122">
      <c r="A122" t="inlineStr">
        <is>
          <t>ING-0121</t>
        </is>
      </c>
      <c r="B122" s="2" t="n">
        <v>45434</v>
      </c>
      <c r="C122" t="inlineStr">
        <is>
          <t>EducaPro</t>
        </is>
      </c>
      <c r="D122" t="inlineStr">
        <is>
          <t>Tecnología</t>
        </is>
      </c>
      <c r="E122" t="inlineStr">
        <is>
          <t>España</t>
        </is>
      </c>
      <c r="F122" t="inlineStr">
        <is>
          <t>Anuncios TV</t>
        </is>
      </c>
      <c r="G122" t="inlineStr">
        <is>
          <t>Retainer trimestral</t>
        </is>
      </c>
      <c r="H122" t="inlineStr">
        <is>
          <t>Sección noticias</t>
        </is>
      </c>
      <c r="I122" t="n">
        <v>18</v>
      </c>
      <c r="J122" s="5" t="n">
        <v>436.93</v>
      </c>
      <c r="K122" s="5">
        <f>ROUND(I122*J122,2)</f>
        <v/>
      </c>
      <c r="L122" s="3" t="n">
        <v>0.05</v>
      </c>
      <c r="M122" s="5">
        <f>ROUND(K122*(1-L122),2)</f>
        <v/>
      </c>
      <c r="N122" s="5" t="n">
        <v>4225.24</v>
      </c>
      <c r="O122" s="5">
        <f>ROUND(M122-N122,2)</f>
        <v/>
      </c>
      <c r="P122" t="inlineStr">
        <is>
          <t>Emitida</t>
        </is>
      </c>
    </row>
    <row r="123">
      <c r="A123" t="inlineStr">
        <is>
          <t>ING-0122</t>
        </is>
      </c>
      <c r="B123" s="2" t="n">
        <v>45703</v>
      </c>
      <c r="C123" t="inlineStr">
        <is>
          <t>EducaPro</t>
        </is>
      </c>
      <c r="D123" t="inlineStr">
        <is>
          <t>Educación</t>
        </is>
      </c>
      <c r="E123" t="inlineStr">
        <is>
          <t>Portugal</t>
        </is>
      </c>
      <c r="F123" t="inlineStr">
        <is>
          <t>Anuncios TV</t>
        </is>
      </c>
      <c r="G123" t="inlineStr">
        <is>
          <t>Proyecto puntual</t>
        </is>
      </c>
      <c r="H123" t="inlineStr">
        <is>
          <t>Portal internacional</t>
        </is>
      </c>
      <c r="I123" t="n">
        <v>25</v>
      </c>
      <c r="J123" s="5" t="n">
        <v>192.83</v>
      </c>
      <c r="K123" s="5">
        <f>ROUND(I123*J123,2)</f>
        <v/>
      </c>
      <c r="L123" s="3" t="n">
        <v>0</v>
      </c>
      <c r="M123" s="5">
        <f>ROUND(K123*(1-L123),2)</f>
        <v/>
      </c>
      <c r="N123" s="5" t="n">
        <v>3099.67</v>
      </c>
      <c r="O123" s="5">
        <f>ROUND(M123-N123,2)</f>
        <v/>
      </c>
      <c r="P123" t="inlineStr">
        <is>
          <t>Pendiente</t>
        </is>
      </c>
    </row>
    <row r="124">
      <c r="A124" t="inlineStr">
        <is>
          <t>ING-0123</t>
        </is>
      </c>
      <c r="B124" s="2" t="n">
        <v>45471</v>
      </c>
      <c r="C124" t="inlineStr">
        <is>
          <t>Grupo Atlas</t>
        </is>
      </c>
      <c r="D124" t="inlineStr">
        <is>
          <t>Tecnología</t>
        </is>
      </c>
      <c r="E124" t="inlineStr">
        <is>
          <t>Colombia</t>
        </is>
      </c>
      <c r="F124" t="inlineStr">
        <is>
          <t>Anuncios TV</t>
        </is>
      </c>
      <c r="G124" t="inlineStr">
        <is>
          <t>Campaña</t>
        </is>
      </c>
      <c r="H124" t="inlineStr">
        <is>
          <t>Intranet comercial</t>
        </is>
      </c>
      <c r="I124" t="n">
        <v>17</v>
      </c>
      <c r="J124" s="5" t="n">
        <v>2479.12</v>
      </c>
      <c r="K124" s="5">
        <f>ROUND(I124*J124,2)</f>
        <v/>
      </c>
      <c r="L124" s="3" t="n">
        <v>0.08</v>
      </c>
      <c r="M124" s="5">
        <f>ROUND(K124*(1-L124),2)</f>
        <v/>
      </c>
      <c r="N124" s="5" t="n">
        <v>24260.56</v>
      </c>
      <c r="O124" s="5">
        <f>ROUND(M124-N124,2)</f>
        <v/>
      </c>
      <c r="P124" t="inlineStr">
        <is>
          <t>Cobrada</t>
        </is>
      </c>
    </row>
    <row r="125">
      <c r="A125" t="inlineStr">
        <is>
          <t>ING-0124</t>
        </is>
      </c>
      <c r="B125" s="2" t="n">
        <v>45592</v>
      </c>
      <c r="C125" t="inlineStr">
        <is>
          <t>EducaPro</t>
        </is>
      </c>
      <c r="D125" t="inlineStr">
        <is>
          <t>RRHH</t>
        </is>
      </c>
      <c r="E125" t="inlineStr">
        <is>
          <t>Portugal</t>
        </is>
      </c>
      <c r="F125" t="inlineStr">
        <is>
          <t>Mantenimiento intranets</t>
        </is>
      </c>
      <c r="G125" t="inlineStr">
        <is>
          <t>Campaña</t>
        </is>
      </c>
      <c r="H125" t="inlineStr">
        <is>
          <t>Intranet operaciones</t>
        </is>
      </c>
      <c r="I125" t="n">
        <v>4</v>
      </c>
      <c r="J125" s="5" t="n">
        <v>3135.87</v>
      </c>
      <c r="K125" s="5">
        <f>ROUND(I125*J125,2)</f>
        <v/>
      </c>
      <c r="L125" s="3" t="n">
        <v>0.05</v>
      </c>
      <c r="M125" s="5">
        <f>ROUND(K125*(1-L125),2)</f>
        <v/>
      </c>
      <c r="N125" s="5" t="n">
        <v>5743.31</v>
      </c>
      <c r="O125" s="5">
        <f>ROUND(M125-N125,2)</f>
        <v/>
      </c>
      <c r="P125" t="inlineStr">
        <is>
          <t>Cobrada</t>
        </is>
      </c>
    </row>
    <row r="126">
      <c r="A126" t="inlineStr">
        <is>
          <t>ING-0125</t>
        </is>
      </c>
      <c r="B126" s="2" t="n">
        <v>45293</v>
      </c>
      <c r="C126" t="inlineStr">
        <is>
          <t>Retail Vision</t>
        </is>
      </c>
      <c r="D126" t="inlineStr">
        <is>
          <t>Tecnología</t>
        </is>
      </c>
      <c r="E126" t="inlineStr">
        <is>
          <t>España</t>
        </is>
      </c>
      <c r="F126" t="inlineStr">
        <is>
          <t>Anuncios RRHH</t>
        </is>
      </c>
      <c r="G126" t="inlineStr">
        <is>
          <t>Retainer trimestral</t>
        </is>
      </c>
      <c r="H126" t="inlineStr">
        <is>
          <t>Portal internacional</t>
        </is>
      </c>
      <c r="I126" t="n">
        <v>30</v>
      </c>
      <c r="J126" s="5" t="n">
        <v>248.62</v>
      </c>
      <c r="K126" s="5">
        <f>ROUND(I126*J126,2)</f>
        <v/>
      </c>
      <c r="L126" s="3" t="n">
        <v>0.05</v>
      </c>
      <c r="M126" s="5">
        <f>ROUND(K126*(1-L126),2)</f>
        <v/>
      </c>
      <c r="N126" s="5" t="n">
        <v>3317.18</v>
      </c>
      <c r="O126" s="5">
        <f>ROUND(M126-N126,2)</f>
        <v/>
      </c>
      <c r="P126" t="inlineStr">
        <is>
          <t>Pendiente</t>
        </is>
      </c>
    </row>
    <row r="127">
      <c r="A127" t="inlineStr">
        <is>
          <t>ING-0126</t>
        </is>
      </c>
      <c r="B127" s="2" t="n">
        <v>45596</v>
      </c>
      <c r="C127" t="inlineStr">
        <is>
          <t>TalentHub</t>
        </is>
      </c>
      <c r="D127" t="inlineStr">
        <is>
          <t>Legal</t>
        </is>
      </c>
      <c r="E127" t="inlineStr">
        <is>
          <t>España</t>
        </is>
      </c>
      <c r="F127" t="inlineStr">
        <is>
          <t>Mantenimiento web</t>
        </is>
      </c>
      <c r="G127" t="inlineStr">
        <is>
          <t>Soporte anual</t>
        </is>
      </c>
      <c r="H127" t="inlineStr">
        <is>
          <t>Sección noticias</t>
        </is>
      </c>
      <c r="I127" t="n">
        <v>8</v>
      </c>
      <c r="J127" s="5" t="n">
        <v>1206.81</v>
      </c>
      <c r="K127" s="5">
        <f>ROUND(I127*J127,2)</f>
        <v/>
      </c>
      <c r="L127" s="3" t="n">
        <v>0.05</v>
      </c>
      <c r="M127" s="5">
        <f>ROUND(K127*(1-L127),2)</f>
        <v/>
      </c>
      <c r="N127" s="5" t="n">
        <v>5913.37</v>
      </c>
      <c r="O127" s="5">
        <f>ROUND(M127-N127,2)</f>
        <v/>
      </c>
      <c r="P127" t="inlineStr">
        <is>
          <t>Cobrada</t>
        </is>
      </c>
    </row>
    <row r="128">
      <c r="A128" t="inlineStr">
        <is>
          <t>ING-0127</t>
        </is>
      </c>
      <c r="B128" s="2" t="n">
        <v>45707</v>
      </c>
      <c r="C128" t="inlineStr">
        <is>
          <t>Nova Salud</t>
        </is>
      </c>
      <c r="D128" t="inlineStr">
        <is>
          <t>Medios</t>
        </is>
      </c>
      <c r="E128" t="inlineStr">
        <is>
          <t>México</t>
        </is>
      </c>
      <c r="F128" t="inlineStr">
        <is>
          <t>Anuncios TV</t>
        </is>
      </c>
      <c r="G128" t="inlineStr">
        <is>
          <t>Proyecto puntual</t>
        </is>
      </c>
      <c r="H128" t="inlineStr">
        <is>
          <t>Centro de prensa</t>
        </is>
      </c>
      <c r="I128" t="n">
        <v>25</v>
      </c>
      <c r="J128" s="5" t="n">
        <v>1939.72</v>
      </c>
      <c r="K128" s="5">
        <f>ROUND(I128*J128,2)</f>
        <v/>
      </c>
      <c r="L128" s="3" t="n">
        <v>0.08</v>
      </c>
      <c r="M128" s="5">
        <f>ROUND(K128*(1-L128),2)</f>
        <v/>
      </c>
      <c r="N128" s="5" t="n">
        <v>14620.36</v>
      </c>
      <c r="O128" s="5">
        <f>ROUND(M128-N128,2)</f>
        <v/>
      </c>
      <c r="P128" t="inlineStr">
        <is>
          <t>Cobrada</t>
        </is>
      </c>
    </row>
    <row r="129">
      <c r="A129" t="inlineStr">
        <is>
          <t>ING-0128</t>
        </is>
      </c>
      <c r="B129" s="2" t="n">
        <v>45632</v>
      </c>
      <c r="C129" t="inlineStr">
        <is>
          <t>FinanData</t>
        </is>
      </c>
      <c r="D129" t="inlineStr">
        <is>
          <t>RRHH</t>
        </is>
      </c>
      <c r="E129" t="inlineStr">
        <is>
          <t>México</t>
        </is>
      </c>
      <c r="F129" t="inlineStr">
        <is>
          <t>Generación de noticias</t>
        </is>
      </c>
      <c r="G129" t="inlineStr">
        <is>
          <t>Campaña</t>
        </is>
      </c>
      <c r="H129" t="inlineStr">
        <is>
          <t>Sección noticias</t>
        </is>
      </c>
      <c r="I129" t="n">
        <v>114</v>
      </c>
      <c r="J129" s="5" t="n">
        <v>54.92</v>
      </c>
      <c r="K129" s="5">
        <f>ROUND(I129*J129,2)</f>
        <v/>
      </c>
      <c r="L129" s="3" t="n">
        <v>0.03</v>
      </c>
      <c r="M129" s="5">
        <f>ROUND(K129*(1-L129),2)</f>
        <v/>
      </c>
      <c r="N129" s="5" t="n">
        <v>4093.34</v>
      </c>
      <c r="O129" s="5">
        <f>ROUND(M129-N129,2)</f>
        <v/>
      </c>
      <c r="P129" t="inlineStr">
        <is>
          <t>Cobrada</t>
        </is>
      </c>
    </row>
    <row r="130">
      <c r="A130" t="inlineStr">
        <is>
          <t>ING-0129</t>
        </is>
      </c>
      <c r="B130" s="2" t="n">
        <v>45670</v>
      </c>
      <c r="C130" t="inlineStr">
        <is>
          <t>Fundación Horizonte</t>
        </is>
      </c>
      <c r="D130" t="inlineStr">
        <is>
          <t>Administración pública</t>
        </is>
      </c>
      <c r="E130" t="inlineStr">
        <is>
          <t>España</t>
        </is>
      </c>
      <c r="F130" t="inlineStr">
        <is>
          <t>Anuncios prensa</t>
        </is>
      </c>
      <c r="G130" t="inlineStr">
        <is>
          <t>Suscripción mensual</t>
        </is>
      </c>
      <c r="H130" t="inlineStr">
        <is>
          <t>Centro de prensa</t>
        </is>
      </c>
      <c r="I130" t="n">
        <v>18</v>
      </c>
      <c r="J130" s="5" t="n">
        <v>1004.9</v>
      </c>
      <c r="K130" s="5">
        <f>ROUND(I130*J130,2)</f>
        <v/>
      </c>
      <c r="L130" s="3" t="n">
        <v>0.03</v>
      </c>
      <c r="M130" s="5">
        <f>ROUND(K130*(1-L130),2)</f>
        <v/>
      </c>
      <c r="N130" s="5" t="n">
        <v>8397.65</v>
      </c>
      <c r="O130" s="5">
        <f>ROUND(M130-N130,2)</f>
        <v/>
      </c>
      <c r="P130" t="inlineStr">
        <is>
          <t>Emitida</t>
        </is>
      </c>
    </row>
    <row r="131">
      <c r="A131" t="inlineStr">
        <is>
          <t>ING-0130</t>
        </is>
      </c>
      <c r="B131" s="2" t="n">
        <v>45477</v>
      </c>
      <c r="C131" t="inlineStr">
        <is>
          <t>Innova Retail</t>
        </is>
      </c>
      <c r="D131" t="inlineStr">
        <is>
          <t>Educación</t>
        </is>
      </c>
      <c r="E131" t="inlineStr">
        <is>
          <t>México</t>
        </is>
      </c>
      <c r="F131" t="inlineStr">
        <is>
          <t>Traducciones</t>
        </is>
      </c>
      <c r="G131" t="inlineStr">
        <is>
          <t>Retainer trimestral</t>
        </is>
      </c>
      <c r="H131" t="inlineStr">
        <is>
          <t>Portal internacional</t>
        </is>
      </c>
      <c r="I131" t="n">
        <v>72</v>
      </c>
      <c r="J131" s="5" t="n">
        <v>124.41</v>
      </c>
      <c r="K131" s="5">
        <f>ROUND(I131*J131,2)</f>
        <v/>
      </c>
      <c r="L131" s="3" t="n">
        <v>0</v>
      </c>
      <c r="M131" s="5">
        <f>ROUND(K131*(1-L131),2)</f>
        <v/>
      </c>
      <c r="N131" s="5" t="n">
        <v>5519.26</v>
      </c>
      <c r="O131" s="5">
        <f>ROUND(M131-N131,2)</f>
        <v/>
      </c>
      <c r="P131" t="inlineStr">
        <is>
          <t>Emitida</t>
        </is>
      </c>
    </row>
    <row r="132">
      <c r="A132" t="inlineStr">
        <is>
          <t>ING-0131</t>
        </is>
      </c>
      <c r="B132" s="2" t="n">
        <v>45722</v>
      </c>
      <c r="C132" t="inlineStr">
        <is>
          <t>Prensa Local 24</t>
        </is>
      </c>
      <c r="D132" t="inlineStr">
        <is>
          <t>Legal</t>
        </is>
      </c>
      <c r="E132" t="inlineStr">
        <is>
          <t>España</t>
        </is>
      </c>
      <c r="F132" t="inlineStr">
        <is>
          <t>Mantenimiento intranets</t>
        </is>
      </c>
      <c r="G132" t="inlineStr">
        <is>
          <t>Soporte anual</t>
        </is>
      </c>
      <c r="H132" t="inlineStr">
        <is>
          <t>Centro de prensa</t>
        </is>
      </c>
      <c r="I132" t="n">
        <v>2</v>
      </c>
      <c r="J132" s="5" t="n">
        <v>1733.47</v>
      </c>
      <c r="K132" s="5">
        <f>ROUND(I132*J132,2)</f>
        <v/>
      </c>
      <c r="L132" s="3" t="n">
        <v>0.08</v>
      </c>
      <c r="M132" s="5">
        <f>ROUND(K132*(1-L132),2)</f>
        <v/>
      </c>
      <c r="N132" s="5" t="n">
        <v>1278.96</v>
      </c>
      <c r="O132" s="5">
        <f>ROUND(M132-N132,2)</f>
        <v/>
      </c>
      <c r="P132" t="inlineStr">
        <is>
          <t>Pendiente</t>
        </is>
      </c>
    </row>
    <row r="133">
      <c r="A133" t="inlineStr">
        <is>
          <t>ING-0132</t>
        </is>
      </c>
      <c r="B133" s="2" t="n">
        <v>45451</v>
      </c>
      <c r="C133" t="inlineStr">
        <is>
          <t>Legal360</t>
        </is>
      </c>
      <c r="D133" t="inlineStr">
        <is>
          <t>Educación</t>
        </is>
      </c>
      <c r="E133" t="inlineStr">
        <is>
          <t>México</t>
        </is>
      </c>
      <c r="F133" t="inlineStr">
        <is>
          <t>Generación de noticias</t>
        </is>
      </c>
      <c r="G133" t="inlineStr">
        <is>
          <t>Retainer trimestral</t>
        </is>
      </c>
      <c r="H133" t="inlineStr">
        <is>
          <t>Portal corporativo</t>
        </is>
      </c>
      <c r="I133" t="n">
        <v>119</v>
      </c>
      <c r="J133" s="5" t="n">
        <v>96.51000000000001</v>
      </c>
      <c r="K133" s="5">
        <f>ROUND(I133*J133,2)</f>
        <v/>
      </c>
      <c r="L133" s="3" t="n">
        <v>0</v>
      </c>
      <c r="M133" s="5">
        <f>ROUND(K133*(1-L133),2)</f>
        <v/>
      </c>
      <c r="N133" s="5" t="n">
        <v>7467.86</v>
      </c>
      <c r="O133" s="5">
        <f>ROUND(M133-N133,2)</f>
        <v/>
      </c>
      <c r="P133" t="inlineStr">
        <is>
          <t>Emitida</t>
        </is>
      </c>
    </row>
    <row r="134">
      <c r="A134" t="inlineStr">
        <is>
          <t>ING-0133</t>
        </is>
      </c>
      <c r="B134" s="2" t="n">
        <v>45532</v>
      </c>
      <c r="C134" t="inlineStr">
        <is>
          <t>Industrias Vega</t>
        </is>
      </c>
      <c r="D134" t="inlineStr">
        <is>
          <t>Administración pública</t>
        </is>
      </c>
      <c r="E134" t="inlineStr">
        <is>
          <t>Chile</t>
        </is>
      </c>
      <c r="F134" t="inlineStr">
        <is>
          <t>Traducciones</t>
        </is>
      </c>
      <c r="G134" t="inlineStr">
        <is>
          <t>Suscripción mensual</t>
        </is>
      </c>
      <c r="H134" t="inlineStr">
        <is>
          <t>Centro de prensa</t>
        </is>
      </c>
      <c r="I134" t="n">
        <v>5</v>
      </c>
      <c r="J134" s="5" t="n">
        <v>54.96</v>
      </c>
      <c r="K134" s="5">
        <f>ROUND(I134*J134,2)</f>
        <v/>
      </c>
      <c r="L134" s="3" t="n">
        <v>0</v>
      </c>
      <c r="M134" s="5">
        <f>ROUND(K134*(1-L134),2)</f>
        <v/>
      </c>
      <c r="N134" s="5" t="n">
        <v>125.05</v>
      </c>
      <c r="O134" s="5">
        <f>ROUND(M134-N134,2)</f>
        <v/>
      </c>
      <c r="P134" t="inlineStr">
        <is>
          <t>Pendiente</t>
        </is>
      </c>
    </row>
    <row r="135">
      <c r="A135" t="inlineStr">
        <is>
          <t>ING-0134</t>
        </is>
      </c>
      <c r="B135" s="2" t="n">
        <v>45583</v>
      </c>
      <c r="C135" t="inlineStr">
        <is>
          <t>Innova Retail</t>
        </is>
      </c>
      <c r="D135" t="inlineStr">
        <is>
          <t>Medios</t>
        </is>
      </c>
      <c r="E135" t="inlineStr">
        <is>
          <t>España</t>
        </is>
      </c>
      <c r="F135" t="inlineStr">
        <is>
          <t>Anuncios TV</t>
        </is>
      </c>
      <c r="G135" t="inlineStr">
        <is>
          <t>Campaña</t>
        </is>
      </c>
      <c r="H135" t="inlineStr">
        <is>
          <t>Campaña empleo</t>
        </is>
      </c>
      <c r="I135" t="n">
        <v>4</v>
      </c>
      <c r="J135" s="5" t="n">
        <v>935.05</v>
      </c>
      <c r="K135" s="5">
        <f>ROUND(I135*J135,2)</f>
        <v/>
      </c>
      <c r="L135" s="3" t="n">
        <v>0.1</v>
      </c>
      <c r="M135" s="5">
        <f>ROUND(K135*(1-L135),2)</f>
        <v/>
      </c>
      <c r="N135" s="5" t="n">
        <v>1232.79</v>
      </c>
      <c r="O135" s="5">
        <f>ROUND(M135-N135,2)</f>
        <v/>
      </c>
      <c r="P135" t="inlineStr">
        <is>
          <t>Pendiente</t>
        </is>
      </c>
    </row>
    <row r="136">
      <c r="A136" t="inlineStr">
        <is>
          <t>ING-0135</t>
        </is>
      </c>
      <c r="B136" s="2" t="n">
        <v>45552</v>
      </c>
      <c r="C136" t="inlineStr">
        <is>
          <t>BioMedic</t>
        </is>
      </c>
      <c r="D136" t="inlineStr">
        <is>
          <t>Administración pública</t>
        </is>
      </c>
      <c r="E136" t="inlineStr">
        <is>
          <t>España</t>
        </is>
      </c>
      <c r="F136" t="inlineStr">
        <is>
          <t>Publicación de noticias</t>
        </is>
      </c>
      <c r="G136" t="inlineStr">
        <is>
          <t>Soporte anual</t>
        </is>
      </c>
      <c r="H136" t="inlineStr">
        <is>
          <t>Centro de prensa</t>
        </is>
      </c>
      <c r="I136" t="n">
        <v>99</v>
      </c>
      <c r="J136" s="5" t="n">
        <v>174.02</v>
      </c>
      <c r="K136" s="5">
        <f>ROUND(I136*J136,2)</f>
        <v/>
      </c>
      <c r="L136" s="3" t="n">
        <v>0.08</v>
      </c>
      <c r="M136" s="5">
        <f>ROUND(K136*(1-L136),2)</f>
        <v/>
      </c>
      <c r="N136" s="5" t="n">
        <v>10706.29</v>
      </c>
      <c r="O136" s="5">
        <f>ROUND(M136-N136,2)</f>
        <v/>
      </c>
      <c r="P136" t="inlineStr">
        <is>
          <t>Pendiente</t>
        </is>
      </c>
    </row>
    <row r="137">
      <c r="A137" t="inlineStr">
        <is>
          <t>ING-0136</t>
        </is>
      </c>
      <c r="B137" s="2" t="n">
        <v>45633</v>
      </c>
      <c r="C137" t="inlineStr">
        <is>
          <t>EcoLogística</t>
        </is>
      </c>
      <c r="D137" t="inlineStr">
        <is>
          <t>Finanzas</t>
        </is>
      </c>
      <c r="E137" t="inlineStr">
        <is>
          <t>Chile</t>
        </is>
      </c>
      <c r="F137" t="inlineStr">
        <is>
          <t>Mantenimiento intranets</t>
        </is>
      </c>
      <c r="G137" t="inlineStr">
        <is>
          <t>Retainer trimestral</t>
        </is>
      </c>
      <c r="H137" t="inlineStr">
        <is>
          <t>Portal internacional</t>
        </is>
      </c>
      <c r="I137" t="n">
        <v>4</v>
      </c>
      <c r="J137" s="5" t="n">
        <v>1113.74</v>
      </c>
      <c r="K137" s="5">
        <f>ROUND(I137*J137,2)</f>
        <v/>
      </c>
      <c r="L137" s="3" t="n">
        <v>0</v>
      </c>
      <c r="M137" s="5">
        <f>ROUND(K137*(1-L137),2)</f>
        <v/>
      </c>
      <c r="N137" s="5" t="n">
        <v>1517.95</v>
      </c>
      <c r="O137" s="5">
        <f>ROUND(M137-N137,2)</f>
        <v/>
      </c>
      <c r="P137" t="inlineStr">
        <is>
          <t>Cobrada</t>
        </is>
      </c>
    </row>
    <row r="138">
      <c r="A138" t="inlineStr">
        <is>
          <t>ING-0137</t>
        </is>
      </c>
      <c r="B138" s="2" t="n">
        <v>45747</v>
      </c>
      <c r="C138" t="inlineStr">
        <is>
          <t>Innova Retail</t>
        </is>
      </c>
      <c r="D138" t="inlineStr">
        <is>
          <t>RRHH</t>
        </is>
      </c>
      <c r="E138" t="inlineStr">
        <is>
          <t>Colombia</t>
        </is>
      </c>
      <c r="F138" t="inlineStr">
        <is>
          <t>Anuncios prensa</t>
        </is>
      </c>
      <c r="G138" t="inlineStr">
        <is>
          <t>Retainer trimestral</t>
        </is>
      </c>
      <c r="H138" t="inlineStr">
        <is>
          <t>Intranet operaciones</t>
        </is>
      </c>
      <c r="I138" t="n">
        <v>11</v>
      </c>
      <c r="J138" s="5" t="n">
        <v>783</v>
      </c>
      <c r="K138" s="5">
        <f>ROUND(I138*J138,2)</f>
        <v/>
      </c>
      <c r="L138" s="3" t="n">
        <v>0</v>
      </c>
      <c r="M138" s="5">
        <f>ROUND(K138*(1-L138),2)</f>
        <v/>
      </c>
      <c r="N138" s="5" t="n">
        <v>4436.07</v>
      </c>
      <c r="O138" s="5">
        <f>ROUND(M138-N138,2)</f>
        <v/>
      </c>
      <c r="P138" t="inlineStr">
        <is>
          <t>Emitida</t>
        </is>
      </c>
    </row>
    <row r="139">
      <c r="A139" t="inlineStr">
        <is>
          <t>ING-0138</t>
        </is>
      </c>
      <c r="B139" s="2" t="n">
        <v>45587</v>
      </c>
      <c r="C139" t="inlineStr">
        <is>
          <t>TurisWorld</t>
        </is>
      </c>
      <c r="D139" t="inlineStr">
        <is>
          <t>Medios</t>
        </is>
      </c>
      <c r="E139" t="inlineStr">
        <is>
          <t>Chile</t>
        </is>
      </c>
      <c r="F139" t="inlineStr">
        <is>
          <t>Anuncios prensa</t>
        </is>
      </c>
      <c r="G139" t="inlineStr">
        <is>
          <t>Suscripción mensual</t>
        </is>
      </c>
      <c r="H139" t="inlineStr">
        <is>
          <t>Campaña empleo</t>
        </is>
      </c>
      <c r="I139" t="n">
        <v>8</v>
      </c>
      <c r="J139" s="5" t="n">
        <v>1904.95</v>
      </c>
      <c r="K139" s="5">
        <f>ROUND(I139*J139,2)</f>
        <v/>
      </c>
      <c r="L139" s="3" t="n">
        <v>0</v>
      </c>
      <c r="M139" s="5">
        <f>ROUND(K139*(1-L139),2)</f>
        <v/>
      </c>
      <c r="N139" s="5" t="n">
        <v>8339.99</v>
      </c>
      <c r="O139" s="5">
        <f>ROUND(M139-N139,2)</f>
        <v/>
      </c>
      <c r="P139" t="inlineStr">
        <is>
          <t>Pendiente</t>
        </is>
      </c>
    </row>
    <row r="140">
      <c r="A140" t="inlineStr">
        <is>
          <t>ING-0139</t>
        </is>
      </c>
      <c r="B140" s="2" t="n">
        <v>45642</v>
      </c>
      <c r="C140" t="inlineStr">
        <is>
          <t>EcoLogística</t>
        </is>
      </c>
      <c r="D140" t="inlineStr">
        <is>
          <t>Retail</t>
        </is>
      </c>
      <c r="E140" t="inlineStr">
        <is>
          <t>Portugal</t>
        </is>
      </c>
      <c r="F140" t="inlineStr">
        <is>
          <t>Mantenimiento web</t>
        </is>
      </c>
      <c r="G140" t="inlineStr">
        <is>
          <t>Retainer trimestral</t>
        </is>
      </c>
      <c r="H140" t="inlineStr">
        <is>
          <t>Intranet comercial</t>
        </is>
      </c>
      <c r="I140" t="n">
        <v>4</v>
      </c>
      <c r="J140" s="5" t="n">
        <v>3581.57</v>
      </c>
      <c r="K140" s="5">
        <f>ROUND(I140*J140,2)</f>
        <v/>
      </c>
      <c r="L140" s="3" t="n">
        <v>0.08</v>
      </c>
      <c r="M140" s="5">
        <f>ROUND(K140*(1-L140),2)</f>
        <v/>
      </c>
      <c r="N140" s="5" t="n">
        <v>8086.3</v>
      </c>
      <c r="O140" s="5">
        <f>ROUND(M140-N140,2)</f>
        <v/>
      </c>
      <c r="P140" t="inlineStr">
        <is>
          <t>Emitida</t>
        </is>
      </c>
    </row>
    <row r="141">
      <c r="A141" t="inlineStr">
        <is>
          <t>ING-0140</t>
        </is>
      </c>
      <c r="B141" s="2" t="n">
        <v>45520</v>
      </c>
      <c r="C141" t="inlineStr">
        <is>
          <t>FinanData</t>
        </is>
      </c>
      <c r="D141" t="inlineStr">
        <is>
          <t>Retail</t>
        </is>
      </c>
      <c r="E141" t="inlineStr">
        <is>
          <t>España</t>
        </is>
      </c>
      <c r="F141" t="inlineStr">
        <is>
          <t>Mantenimiento intranets</t>
        </is>
      </c>
      <c r="G141" t="inlineStr">
        <is>
          <t>Retainer trimestral</t>
        </is>
      </c>
      <c r="H141" t="inlineStr">
        <is>
          <t>Portal internacional</t>
        </is>
      </c>
      <c r="I141" t="n">
        <v>1</v>
      </c>
      <c r="J141" s="5" t="n">
        <v>2388.08</v>
      </c>
      <c r="K141" s="5">
        <f>ROUND(I141*J141,2)</f>
        <v/>
      </c>
      <c r="L141" s="3" t="n">
        <v>0.05</v>
      </c>
      <c r="M141" s="5">
        <f>ROUND(K141*(1-L141),2)</f>
        <v/>
      </c>
      <c r="N141" s="5" t="n">
        <v>947.55</v>
      </c>
      <c r="O141" s="5">
        <f>ROUND(M141-N141,2)</f>
        <v/>
      </c>
      <c r="P141" t="inlineStr">
        <is>
          <t>Cobrada</t>
        </is>
      </c>
    </row>
    <row r="142">
      <c r="A142" t="inlineStr">
        <is>
          <t>ING-0141</t>
        </is>
      </c>
      <c r="B142" s="2" t="n">
        <v>45366</v>
      </c>
      <c r="C142" t="inlineStr">
        <is>
          <t>TechSphere</t>
        </is>
      </c>
      <c r="D142" t="inlineStr">
        <is>
          <t>Administración pública</t>
        </is>
      </c>
      <c r="E142" t="inlineStr">
        <is>
          <t>México</t>
        </is>
      </c>
      <c r="F142" t="inlineStr">
        <is>
          <t>Anuncios TV</t>
        </is>
      </c>
      <c r="G142" t="inlineStr">
        <is>
          <t>Proyecto puntual</t>
        </is>
      </c>
      <c r="H142" t="inlineStr">
        <is>
          <t>Campaña empleo</t>
        </is>
      </c>
      <c r="I142" t="n">
        <v>16</v>
      </c>
      <c r="J142" s="5" t="n">
        <v>1708.33</v>
      </c>
      <c r="K142" s="5">
        <f>ROUND(I142*J142,2)</f>
        <v/>
      </c>
      <c r="L142" s="3" t="n">
        <v>0.05</v>
      </c>
      <c r="M142" s="5">
        <f>ROUND(K142*(1-L142),2)</f>
        <v/>
      </c>
      <c r="N142" s="5" t="n">
        <v>16914.81</v>
      </c>
      <c r="O142" s="5">
        <f>ROUND(M142-N142,2)</f>
        <v/>
      </c>
      <c r="P142" t="inlineStr">
        <is>
          <t>Cobrada</t>
        </is>
      </c>
    </row>
    <row r="143">
      <c r="A143" t="inlineStr">
        <is>
          <t>ING-0142</t>
        </is>
      </c>
      <c r="B143" s="2" t="n">
        <v>45373</v>
      </c>
      <c r="C143" t="inlineStr">
        <is>
          <t>Nova Salud</t>
        </is>
      </c>
      <c r="D143" t="inlineStr">
        <is>
          <t>Salud</t>
        </is>
      </c>
      <c r="E143" t="inlineStr">
        <is>
          <t>Colombia</t>
        </is>
      </c>
      <c r="F143" t="inlineStr">
        <is>
          <t>Generación de noticias</t>
        </is>
      </c>
      <c r="G143" t="inlineStr">
        <is>
          <t>Soporte anual</t>
        </is>
      </c>
      <c r="H143" t="inlineStr">
        <is>
          <t>Centro de prensa</t>
        </is>
      </c>
      <c r="I143" t="n">
        <v>11</v>
      </c>
      <c r="J143" s="5" t="n">
        <v>75.3</v>
      </c>
      <c r="K143" s="5">
        <f>ROUND(I143*J143,2)</f>
        <v/>
      </c>
      <c r="L143" s="3" t="n">
        <v>0</v>
      </c>
      <c r="M143" s="5">
        <f>ROUND(K143*(1-L143),2)</f>
        <v/>
      </c>
      <c r="N143" s="5" t="n">
        <v>361.38</v>
      </c>
      <c r="O143" s="5">
        <f>ROUND(M143-N143,2)</f>
        <v/>
      </c>
      <c r="P143" t="inlineStr">
        <is>
          <t>Cobrada</t>
        </is>
      </c>
    </row>
    <row r="144">
      <c r="A144" t="inlineStr">
        <is>
          <t>ING-0143</t>
        </is>
      </c>
      <c r="B144" s="2" t="n">
        <v>45685</v>
      </c>
      <c r="C144" t="inlineStr">
        <is>
          <t>Grupo Atlas</t>
        </is>
      </c>
      <c r="D144" t="inlineStr">
        <is>
          <t>Industria</t>
        </is>
      </c>
      <c r="E144" t="inlineStr">
        <is>
          <t>Chile</t>
        </is>
      </c>
      <c r="F144" t="inlineStr">
        <is>
          <t>Traducciones</t>
        </is>
      </c>
      <c r="G144" t="inlineStr">
        <is>
          <t>Suscripción mensual</t>
        </is>
      </c>
      <c r="H144" t="inlineStr">
        <is>
          <t>Intranet operaciones</t>
        </is>
      </c>
      <c r="I144" t="n">
        <v>23</v>
      </c>
      <c r="J144" s="5" t="n">
        <v>79.68000000000001</v>
      </c>
      <c r="K144" s="5">
        <f>ROUND(I144*J144,2)</f>
        <v/>
      </c>
      <c r="L144" s="3" t="n">
        <v>0.03</v>
      </c>
      <c r="M144" s="5">
        <f>ROUND(K144*(1-L144),2)</f>
        <v/>
      </c>
      <c r="N144" s="5" t="n">
        <v>597.71</v>
      </c>
      <c r="O144" s="5">
        <f>ROUND(M144-N144,2)</f>
        <v/>
      </c>
      <c r="P144" t="inlineStr">
        <is>
          <t>Cobrada</t>
        </is>
      </c>
    </row>
    <row r="145">
      <c r="A145" t="inlineStr">
        <is>
          <t>ING-0144</t>
        </is>
      </c>
      <c r="B145" s="2" t="n">
        <v>45536</v>
      </c>
      <c r="C145" t="inlineStr">
        <is>
          <t>EcoLogística</t>
        </is>
      </c>
      <c r="D145" t="inlineStr">
        <is>
          <t>Turismo</t>
        </is>
      </c>
      <c r="E145" t="inlineStr">
        <is>
          <t>Portugal</t>
        </is>
      </c>
      <c r="F145" t="inlineStr">
        <is>
          <t>Mantenimiento intranets</t>
        </is>
      </c>
      <c r="G145" t="inlineStr">
        <is>
          <t>Campaña</t>
        </is>
      </c>
      <c r="H145" t="inlineStr">
        <is>
          <t>Campaña empleo</t>
        </is>
      </c>
      <c r="I145" t="n">
        <v>4</v>
      </c>
      <c r="J145" s="5" t="n">
        <v>3378.35</v>
      </c>
      <c r="K145" s="5">
        <f>ROUND(I145*J145,2)</f>
        <v/>
      </c>
      <c r="L145" s="3" t="n">
        <v>0.05</v>
      </c>
      <c r="M145" s="5">
        <f>ROUND(K145*(1-L145),2)</f>
        <v/>
      </c>
      <c r="N145" s="5" t="n">
        <v>4979.89</v>
      </c>
      <c r="O145" s="5">
        <f>ROUND(M145-N145,2)</f>
        <v/>
      </c>
      <c r="P145" t="inlineStr">
        <is>
          <t>Emitida</t>
        </is>
      </c>
    </row>
    <row r="146">
      <c r="A146" t="inlineStr">
        <is>
          <t>ING-0145</t>
        </is>
      </c>
      <c r="B146" s="2" t="n">
        <v>45574</v>
      </c>
      <c r="C146" t="inlineStr">
        <is>
          <t>TalentHub</t>
        </is>
      </c>
      <c r="D146" t="inlineStr">
        <is>
          <t>Medios</t>
        </is>
      </c>
      <c r="E146" t="inlineStr">
        <is>
          <t>Portugal</t>
        </is>
      </c>
      <c r="F146" t="inlineStr">
        <is>
          <t>Mantenimiento web</t>
        </is>
      </c>
      <c r="G146" t="inlineStr">
        <is>
          <t>Suscripción mensual</t>
        </is>
      </c>
      <c r="H146" t="inlineStr">
        <is>
          <t>Centro de prensa</t>
        </is>
      </c>
      <c r="I146" t="n">
        <v>8</v>
      </c>
      <c r="J146" s="5" t="n">
        <v>2284.49</v>
      </c>
      <c r="K146" s="5">
        <f>ROUND(I146*J146,2)</f>
        <v/>
      </c>
      <c r="L146" s="3" t="n">
        <v>0.1</v>
      </c>
      <c r="M146" s="5">
        <f>ROUND(K146*(1-L146),2)</f>
        <v/>
      </c>
      <c r="N146" s="5" t="n">
        <v>12321.5</v>
      </c>
      <c r="O146" s="5">
        <f>ROUND(M146-N146,2)</f>
        <v/>
      </c>
      <c r="P146" t="inlineStr">
        <is>
          <t>Cobrada</t>
        </is>
      </c>
    </row>
    <row r="147">
      <c r="A147" t="inlineStr">
        <is>
          <t>ING-0146</t>
        </is>
      </c>
      <c r="B147" s="2" t="n">
        <v>45556</v>
      </c>
      <c r="C147" t="inlineStr">
        <is>
          <t>Fundación Horizonte</t>
        </is>
      </c>
      <c r="D147" t="inlineStr">
        <is>
          <t>RRHH</t>
        </is>
      </c>
      <c r="E147" t="inlineStr">
        <is>
          <t>Colombia</t>
        </is>
      </c>
      <c r="F147" t="inlineStr">
        <is>
          <t>Anuncios TV</t>
        </is>
      </c>
      <c r="G147" t="inlineStr">
        <is>
          <t>Suscripción mensual</t>
        </is>
      </c>
      <c r="H147" t="inlineStr">
        <is>
          <t>Intranet comercial</t>
        </is>
      </c>
      <c r="I147" t="n">
        <v>24</v>
      </c>
      <c r="J147" s="5" t="n">
        <v>382.26</v>
      </c>
      <c r="K147" s="5">
        <f>ROUND(I147*J147,2)</f>
        <v/>
      </c>
      <c r="L147" s="3" t="n">
        <v>0.08</v>
      </c>
      <c r="M147" s="5">
        <f>ROUND(K147*(1-L147),2)</f>
        <v/>
      </c>
      <c r="N147" s="5" t="n">
        <v>5694.11</v>
      </c>
      <c r="O147" s="5">
        <f>ROUND(M147-N147,2)</f>
        <v/>
      </c>
      <c r="P147" t="inlineStr">
        <is>
          <t>Emitida</t>
        </is>
      </c>
    </row>
    <row r="148">
      <c r="A148" t="inlineStr">
        <is>
          <t>ING-0147</t>
        </is>
      </c>
      <c r="B148" s="2" t="n">
        <v>45634</v>
      </c>
      <c r="C148" t="inlineStr">
        <is>
          <t>Prensa Local 24</t>
        </is>
      </c>
      <c r="D148" t="inlineStr">
        <is>
          <t>Logística</t>
        </is>
      </c>
      <c r="E148" t="inlineStr">
        <is>
          <t>Chile</t>
        </is>
      </c>
      <c r="F148" t="inlineStr">
        <is>
          <t>Mantenimiento intranets</t>
        </is>
      </c>
      <c r="G148" t="inlineStr">
        <is>
          <t>Soporte anual</t>
        </is>
      </c>
      <c r="H148" t="inlineStr">
        <is>
          <t>Sección noticias</t>
        </is>
      </c>
      <c r="I148" t="n">
        <v>5</v>
      </c>
      <c r="J148" s="5" t="n">
        <v>3814.96</v>
      </c>
      <c r="K148" s="5">
        <f>ROUND(I148*J148,2)</f>
        <v/>
      </c>
      <c r="L148" s="3" t="n">
        <v>0.1</v>
      </c>
      <c r="M148" s="5">
        <f>ROUND(K148*(1-L148),2)</f>
        <v/>
      </c>
      <c r="N148" s="5" t="n">
        <v>10983.77</v>
      </c>
      <c r="O148" s="5">
        <f>ROUND(M148-N148,2)</f>
        <v/>
      </c>
      <c r="P148" t="inlineStr">
        <is>
          <t>Cobrada</t>
        </is>
      </c>
    </row>
    <row r="149">
      <c r="A149" t="inlineStr">
        <is>
          <t>ING-0148</t>
        </is>
      </c>
      <c r="B149" s="2" t="n">
        <v>45645</v>
      </c>
      <c r="C149" t="inlineStr">
        <is>
          <t>Prensa Local 24</t>
        </is>
      </c>
      <c r="D149" t="inlineStr">
        <is>
          <t>Administración pública</t>
        </is>
      </c>
      <c r="E149" t="inlineStr">
        <is>
          <t>Chile</t>
        </is>
      </c>
      <c r="F149" t="inlineStr">
        <is>
          <t>Anuncios TV</t>
        </is>
      </c>
      <c r="G149" t="inlineStr">
        <is>
          <t>Retainer trimestral</t>
        </is>
      </c>
      <c r="H149" t="inlineStr">
        <is>
          <t>Portal corporativo</t>
        </is>
      </c>
      <c r="I149" t="n">
        <v>6</v>
      </c>
      <c r="J149" s="5" t="n">
        <v>2402.76</v>
      </c>
      <c r="K149" s="5">
        <f>ROUND(I149*J149,2)</f>
        <v/>
      </c>
      <c r="L149" s="3" t="n">
        <v>0.05</v>
      </c>
      <c r="M149" s="5">
        <f>ROUND(K149*(1-L149),2)</f>
        <v/>
      </c>
      <c r="N149" s="5" t="n">
        <v>5633.59</v>
      </c>
      <c r="O149" s="5">
        <f>ROUND(M149-N149,2)</f>
        <v/>
      </c>
      <c r="P149" t="inlineStr">
        <is>
          <t>Emitida</t>
        </is>
      </c>
    </row>
    <row r="150">
      <c r="A150" t="inlineStr">
        <is>
          <t>ING-0149</t>
        </is>
      </c>
      <c r="B150" s="2" t="n">
        <v>45420</v>
      </c>
      <c r="C150" t="inlineStr">
        <is>
          <t>Ayuntamiento Norte</t>
        </is>
      </c>
      <c r="D150" t="inlineStr">
        <is>
          <t>Logística</t>
        </is>
      </c>
      <c r="E150" t="inlineStr">
        <is>
          <t>Portugal</t>
        </is>
      </c>
      <c r="F150" t="inlineStr">
        <is>
          <t>Publicación de noticias</t>
        </is>
      </c>
      <c r="G150" t="inlineStr">
        <is>
          <t>Campaña</t>
        </is>
      </c>
      <c r="H150" t="inlineStr">
        <is>
          <t>Portal internacional</t>
        </is>
      </c>
      <c r="I150" t="n">
        <v>98</v>
      </c>
      <c r="J150" s="5" t="n">
        <v>82.89</v>
      </c>
      <c r="K150" s="5">
        <f>ROUND(I150*J150,2)</f>
        <v/>
      </c>
      <c r="L150" s="3" t="n">
        <v>0</v>
      </c>
      <c r="M150" s="5">
        <f>ROUND(K150*(1-L150),2)</f>
        <v/>
      </c>
      <c r="N150" s="5" t="n">
        <v>4699.86</v>
      </c>
      <c r="O150" s="5">
        <f>ROUND(M150-N150,2)</f>
        <v/>
      </c>
      <c r="P150" t="inlineStr">
        <is>
          <t>Cobrada</t>
        </is>
      </c>
    </row>
    <row r="151">
      <c r="A151" t="inlineStr">
        <is>
          <t>ING-0150</t>
        </is>
      </c>
      <c r="B151" s="2" t="n">
        <v>45731</v>
      </c>
      <c r="C151" t="inlineStr">
        <is>
          <t>SegurPlus</t>
        </is>
      </c>
      <c r="D151" t="inlineStr">
        <is>
          <t>Tecnología</t>
        </is>
      </c>
      <c r="E151" t="inlineStr">
        <is>
          <t>Colombia</t>
        </is>
      </c>
      <c r="F151" t="inlineStr">
        <is>
          <t>Anuncios internet</t>
        </is>
      </c>
      <c r="G151" t="inlineStr">
        <is>
          <t>Proyecto puntual</t>
        </is>
      </c>
      <c r="H151" t="inlineStr">
        <is>
          <t>Portal internacional</t>
        </is>
      </c>
      <c r="I151" t="n">
        <v>8</v>
      </c>
      <c r="J151" s="5" t="n">
        <v>2242.1</v>
      </c>
      <c r="K151" s="5">
        <f>ROUND(I151*J151,2)</f>
        <v/>
      </c>
      <c r="L151" s="3" t="n">
        <v>0.05</v>
      </c>
      <c r="M151" s="5">
        <f>ROUND(K151*(1-L151),2)</f>
        <v/>
      </c>
      <c r="N151" s="5" t="n">
        <v>6988.68</v>
      </c>
      <c r="O151" s="5">
        <f>ROUND(M151-N151,2)</f>
        <v/>
      </c>
      <c r="P151" t="inlineStr">
        <is>
          <t>Emitida</t>
        </is>
      </c>
    </row>
    <row r="152">
      <c r="A152" t="inlineStr">
        <is>
          <t>ING-0151</t>
        </is>
      </c>
      <c r="B152" s="2" t="n">
        <v>45362</v>
      </c>
      <c r="C152" t="inlineStr">
        <is>
          <t>BioMedic</t>
        </is>
      </c>
      <c r="D152" t="inlineStr">
        <is>
          <t>Administración pública</t>
        </is>
      </c>
      <c r="E152" t="inlineStr">
        <is>
          <t>España</t>
        </is>
      </c>
      <c r="F152" t="inlineStr">
        <is>
          <t>Anuncios prensa</t>
        </is>
      </c>
      <c r="G152" t="inlineStr">
        <is>
          <t>Proyecto puntual</t>
        </is>
      </c>
      <c r="H152" t="inlineStr">
        <is>
          <t>Intranet operaciones</t>
        </is>
      </c>
      <c r="I152" t="n">
        <v>2</v>
      </c>
      <c r="J152" s="5" t="n">
        <v>1770.86</v>
      </c>
      <c r="K152" s="5">
        <f>ROUND(I152*J152,2)</f>
        <v/>
      </c>
      <c r="L152" s="3" t="n">
        <v>0.05</v>
      </c>
      <c r="M152" s="5">
        <f>ROUND(K152*(1-L152),2)</f>
        <v/>
      </c>
      <c r="N152" s="5" t="n">
        <v>1042.59</v>
      </c>
      <c r="O152" s="5">
        <f>ROUND(M152-N152,2)</f>
        <v/>
      </c>
      <c r="P152" t="inlineStr">
        <is>
          <t>Pendiente</t>
        </is>
      </c>
    </row>
    <row r="153">
      <c r="A153" t="inlineStr">
        <is>
          <t>ING-0152</t>
        </is>
      </c>
      <c r="B153" s="2" t="n">
        <v>45659</v>
      </c>
      <c r="C153" t="inlineStr">
        <is>
          <t>FinanData</t>
        </is>
      </c>
      <c r="D153" t="inlineStr">
        <is>
          <t>Finanzas</t>
        </is>
      </c>
      <c r="E153" t="inlineStr">
        <is>
          <t>Portugal</t>
        </is>
      </c>
      <c r="F153" t="inlineStr">
        <is>
          <t>Traducciones</t>
        </is>
      </c>
      <c r="G153" t="inlineStr">
        <is>
          <t>Proyecto puntual</t>
        </is>
      </c>
      <c r="H153" t="inlineStr">
        <is>
          <t>Portal internacional</t>
        </is>
      </c>
      <c r="I153" t="n">
        <v>92</v>
      </c>
      <c r="J153" s="5" t="n">
        <v>178.57</v>
      </c>
      <c r="K153" s="5">
        <f>ROUND(I153*J153,2)</f>
        <v/>
      </c>
      <c r="L153" s="3" t="n">
        <v>0</v>
      </c>
      <c r="M153" s="5">
        <f>ROUND(K153*(1-L153),2)</f>
        <v/>
      </c>
      <c r="N153" s="5" t="n">
        <v>7982.25</v>
      </c>
      <c r="O153" s="5">
        <f>ROUND(M153-N153,2)</f>
        <v/>
      </c>
      <c r="P153" t="inlineStr">
        <is>
          <t>Emitida</t>
        </is>
      </c>
    </row>
    <row r="154">
      <c r="A154" t="inlineStr">
        <is>
          <t>ING-0153</t>
        </is>
      </c>
      <c r="B154" s="2" t="n">
        <v>45621</v>
      </c>
      <c r="C154" t="inlineStr">
        <is>
          <t>Retail Vision</t>
        </is>
      </c>
      <c r="D154" t="inlineStr">
        <is>
          <t>Industria</t>
        </is>
      </c>
      <c r="E154" t="inlineStr">
        <is>
          <t>Portugal</t>
        </is>
      </c>
      <c r="F154" t="inlineStr">
        <is>
          <t>Generación de noticias</t>
        </is>
      </c>
      <c r="G154" t="inlineStr">
        <is>
          <t>Suscripción mensual</t>
        </is>
      </c>
      <c r="H154" t="inlineStr">
        <is>
          <t>Portal internacional</t>
        </is>
      </c>
      <c r="I154" t="n">
        <v>80</v>
      </c>
      <c r="J154" s="5" t="n">
        <v>97.28</v>
      </c>
      <c r="K154" s="5">
        <f>ROUND(I154*J154,2)</f>
        <v/>
      </c>
      <c r="L154" s="3" t="n">
        <v>0</v>
      </c>
      <c r="M154" s="5">
        <f>ROUND(K154*(1-L154),2)</f>
        <v/>
      </c>
      <c r="N154" s="5" t="n">
        <v>5262.93</v>
      </c>
      <c r="O154" s="5">
        <f>ROUND(M154-N154,2)</f>
        <v/>
      </c>
      <c r="P154" t="inlineStr">
        <is>
          <t>Pendiente</t>
        </is>
      </c>
    </row>
    <row r="155">
      <c r="A155" t="inlineStr">
        <is>
          <t>ING-0154</t>
        </is>
      </c>
      <c r="B155" s="2" t="n">
        <v>45674</v>
      </c>
      <c r="C155" t="inlineStr">
        <is>
          <t>BioMedic</t>
        </is>
      </c>
      <c r="D155" t="inlineStr">
        <is>
          <t>Salud</t>
        </is>
      </c>
      <c r="E155" t="inlineStr">
        <is>
          <t>Colombia</t>
        </is>
      </c>
      <c r="F155" t="inlineStr">
        <is>
          <t>Traducciones</t>
        </is>
      </c>
      <c r="G155" t="inlineStr">
        <is>
          <t>Retainer trimestral</t>
        </is>
      </c>
      <c r="H155" t="inlineStr">
        <is>
          <t>Sección noticias</t>
        </is>
      </c>
      <c r="I155" t="n">
        <v>108</v>
      </c>
      <c r="J155" s="5" t="n">
        <v>75.04000000000001</v>
      </c>
      <c r="K155" s="5">
        <f>ROUND(I155*J155,2)</f>
        <v/>
      </c>
      <c r="L155" s="3" t="n">
        <v>0.1</v>
      </c>
      <c r="M155" s="5">
        <f>ROUND(K155*(1-L155),2)</f>
        <v/>
      </c>
      <c r="N155" s="5" t="n">
        <v>4111.39</v>
      </c>
      <c r="O155" s="5">
        <f>ROUND(M155-N155,2)</f>
        <v/>
      </c>
      <c r="P155" t="inlineStr">
        <is>
          <t>Pendiente</t>
        </is>
      </c>
    </row>
    <row r="156">
      <c r="A156" t="inlineStr">
        <is>
          <t>ING-0155</t>
        </is>
      </c>
      <c r="B156" s="2" t="n">
        <v>45343</v>
      </c>
      <c r="C156" t="inlineStr">
        <is>
          <t>EducaPro</t>
        </is>
      </c>
      <c r="D156" t="inlineStr">
        <is>
          <t>Legal</t>
        </is>
      </c>
      <c r="E156" t="inlineStr">
        <is>
          <t>Chile</t>
        </is>
      </c>
      <c r="F156" t="inlineStr">
        <is>
          <t>Mantenimiento web</t>
        </is>
      </c>
      <c r="G156" t="inlineStr">
        <is>
          <t>Proyecto puntual</t>
        </is>
      </c>
      <c r="H156" t="inlineStr">
        <is>
          <t>Centro de prensa</t>
        </is>
      </c>
      <c r="I156" t="n">
        <v>4</v>
      </c>
      <c r="J156" s="5" t="n">
        <v>3764.6</v>
      </c>
      <c r="K156" s="5">
        <f>ROUND(I156*J156,2)</f>
        <v/>
      </c>
      <c r="L156" s="3" t="n">
        <v>0</v>
      </c>
      <c r="M156" s="5">
        <f>ROUND(K156*(1-L156),2)</f>
        <v/>
      </c>
      <c r="N156" s="5" t="n">
        <v>9511.059999999999</v>
      </c>
      <c r="O156" s="5">
        <f>ROUND(M156-N156,2)</f>
        <v/>
      </c>
      <c r="P156" t="inlineStr">
        <is>
          <t>Cobrada</t>
        </is>
      </c>
    </row>
    <row r="157">
      <c r="A157" t="inlineStr">
        <is>
          <t>ING-0156</t>
        </is>
      </c>
      <c r="B157" s="2" t="n">
        <v>45305</v>
      </c>
      <c r="C157" t="inlineStr">
        <is>
          <t>Innova Retail</t>
        </is>
      </c>
      <c r="D157" t="inlineStr">
        <is>
          <t>Medios</t>
        </is>
      </c>
      <c r="E157" t="inlineStr">
        <is>
          <t>Chile</t>
        </is>
      </c>
      <c r="F157" t="inlineStr">
        <is>
          <t>Anuncios RRHH</t>
        </is>
      </c>
      <c r="G157" t="inlineStr">
        <is>
          <t>Suscripción mensual</t>
        </is>
      </c>
      <c r="H157" t="inlineStr">
        <is>
          <t>Centro de prensa</t>
        </is>
      </c>
      <c r="I157" t="n">
        <v>26</v>
      </c>
      <c r="J157" s="5" t="n">
        <v>1213.04</v>
      </c>
      <c r="K157" s="5">
        <f>ROUND(I157*J157,2)</f>
        <v/>
      </c>
      <c r="L157" s="3" t="n">
        <v>0</v>
      </c>
      <c r="M157" s="5">
        <f>ROUND(K157*(1-L157),2)</f>
        <v/>
      </c>
      <c r="N157" s="5" t="n">
        <v>17322.88</v>
      </c>
      <c r="O157" s="5">
        <f>ROUND(M157-N157,2)</f>
        <v/>
      </c>
      <c r="P157" t="inlineStr">
        <is>
          <t>Emitida</t>
        </is>
      </c>
    </row>
    <row r="158">
      <c r="A158" t="inlineStr">
        <is>
          <t>ING-0157</t>
        </is>
      </c>
      <c r="B158" s="2" t="n">
        <v>45715</v>
      </c>
      <c r="C158" t="inlineStr">
        <is>
          <t>TechSphere</t>
        </is>
      </c>
      <c r="D158" t="inlineStr">
        <is>
          <t>Finanzas</t>
        </is>
      </c>
      <c r="E158" t="inlineStr">
        <is>
          <t>Portugal</t>
        </is>
      </c>
      <c r="F158" t="inlineStr">
        <is>
          <t>Publicación de noticias</t>
        </is>
      </c>
      <c r="G158" t="inlineStr">
        <is>
          <t>Retainer trimestral</t>
        </is>
      </c>
      <c r="H158" t="inlineStr">
        <is>
          <t>Intranet operaciones</t>
        </is>
      </c>
      <c r="I158" t="n">
        <v>99</v>
      </c>
      <c r="J158" s="5" t="n">
        <v>46.33</v>
      </c>
      <c r="K158" s="5">
        <f>ROUND(I158*J158,2)</f>
        <v/>
      </c>
      <c r="L158" s="3" t="n">
        <v>0</v>
      </c>
      <c r="M158" s="5">
        <f>ROUND(K158*(1-L158),2)</f>
        <v/>
      </c>
      <c r="N158" s="5" t="n">
        <v>1500.43</v>
      </c>
      <c r="O158" s="5">
        <f>ROUND(M158-N158,2)</f>
        <v/>
      </c>
      <c r="P158" t="inlineStr">
        <is>
          <t>Pendiente</t>
        </is>
      </c>
    </row>
    <row r="159">
      <c r="A159" t="inlineStr">
        <is>
          <t>ING-0158</t>
        </is>
      </c>
      <c r="B159" s="2" t="n">
        <v>45662</v>
      </c>
      <c r="C159" t="inlineStr">
        <is>
          <t>TechSphere</t>
        </is>
      </c>
      <c r="D159" t="inlineStr">
        <is>
          <t>Tecnología</t>
        </is>
      </c>
      <c r="E159" t="inlineStr">
        <is>
          <t>México</t>
        </is>
      </c>
      <c r="F159" t="inlineStr">
        <is>
          <t>Anuncios internet</t>
        </is>
      </c>
      <c r="G159" t="inlineStr">
        <is>
          <t>Campaña</t>
        </is>
      </c>
      <c r="H159" t="inlineStr">
        <is>
          <t>Sección noticias</t>
        </is>
      </c>
      <c r="I159" t="n">
        <v>21</v>
      </c>
      <c r="J159" s="5" t="n">
        <v>466.11</v>
      </c>
      <c r="K159" s="5">
        <f>ROUND(I159*J159,2)</f>
        <v/>
      </c>
      <c r="L159" s="3" t="n">
        <v>0.1</v>
      </c>
      <c r="M159" s="5">
        <f>ROUND(K159*(1-L159),2)</f>
        <v/>
      </c>
      <c r="N159" s="5" t="n">
        <v>2943.22</v>
      </c>
      <c r="O159" s="5">
        <f>ROUND(M159-N159,2)</f>
        <v/>
      </c>
      <c r="P159" t="inlineStr">
        <is>
          <t>Emitida</t>
        </is>
      </c>
    </row>
    <row r="160">
      <c r="A160" t="inlineStr">
        <is>
          <t>ING-0159</t>
        </is>
      </c>
      <c r="B160" s="2" t="n">
        <v>45564</v>
      </c>
      <c r="C160" t="inlineStr">
        <is>
          <t>TurisWorld</t>
        </is>
      </c>
      <c r="D160" t="inlineStr">
        <is>
          <t>Medios</t>
        </is>
      </c>
      <c r="E160" t="inlineStr">
        <is>
          <t>Colombia</t>
        </is>
      </c>
      <c r="F160" t="inlineStr">
        <is>
          <t>Publicación de noticias</t>
        </is>
      </c>
      <c r="G160" t="inlineStr">
        <is>
          <t>Suscripción mensual</t>
        </is>
      </c>
      <c r="H160" t="inlineStr">
        <is>
          <t>Intranet comercial</t>
        </is>
      </c>
      <c r="I160" t="n">
        <v>53</v>
      </c>
      <c r="J160" s="5" t="n">
        <v>41.07</v>
      </c>
      <c r="K160" s="5">
        <f>ROUND(I160*J160,2)</f>
        <v/>
      </c>
      <c r="L160" s="3" t="n">
        <v>0</v>
      </c>
      <c r="M160" s="5">
        <f>ROUND(K160*(1-L160),2)</f>
        <v/>
      </c>
      <c r="N160" s="5" t="n">
        <v>894.6799999999999</v>
      </c>
      <c r="O160" s="5">
        <f>ROUND(M160-N160,2)</f>
        <v/>
      </c>
      <c r="P160" t="inlineStr">
        <is>
          <t>Emitida</t>
        </is>
      </c>
    </row>
    <row r="161">
      <c r="A161" t="inlineStr">
        <is>
          <t>ING-0160</t>
        </is>
      </c>
      <c r="B161" s="2" t="n">
        <v>45708</v>
      </c>
      <c r="C161" t="inlineStr">
        <is>
          <t>TurisWorld</t>
        </is>
      </c>
      <c r="D161" t="inlineStr">
        <is>
          <t>Turismo</t>
        </is>
      </c>
      <c r="E161" t="inlineStr">
        <is>
          <t>Chile</t>
        </is>
      </c>
      <c r="F161" t="inlineStr">
        <is>
          <t>Traducciones</t>
        </is>
      </c>
      <c r="G161" t="inlineStr">
        <is>
          <t>Soporte anual</t>
        </is>
      </c>
      <c r="H161" t="inlineStr">
        <is>
          <t>Portal internacional</t>
        </is>
      </c>
      <c r="I161" t="n">
        <v>58</v>
      </c>
      <c r="J161" s="5" t="n">
        <v>55.18</v>
      </c>
      <c r="K161" s="5">
        <f>ROUND(I161*J161,2)</f>
        <v/>
      </c>
      <c r="L161" s="3" t="n">
        <v>0.05</v>
      </c>
      <c r="M161" s="5">
        <f>ROUND(K161*(1-L161),2)</f>
        <v/>
      </c>
      <c r="N161" s="5" t="n">
        <v>1115.64</v>
      </c>
      <c r="O161" s="5">
        <f>ROUND(M161-N161,2)</f>
        <v/>
      </c>
      <c r="P161" t="inlineStr">
        <is>
          <t>Emitida</t>
        </is>
      </c>
    </row>
    <row r="162">
      <c r="A162" t="inlineStr">
        <is>
          <t>ING-0161</t>
        </is>
      </c>
      <c r="B162" s="2" t="n">
        <v>45604</v>
      </c>
      <c r="C162" t="inlineStr">
        <is>
          <t>Campus One</t>
        </is>
      </c>
      <c r="D162" t="inlineStr">
        <is>
          <t>Turismo</t>
        </is>
      </c>
      <c r="E162" t="inlineStr">
        <is>
          <t>México</t>
        </is>
      </c>
      <c r="F162" t="inlineStr">
        <is>
          <t>Anuncios TV</t>
        </is>
      </c>
      <c r="G162" t="inlineStr">
        <is>
          <t>Retainer trimestral</t>
        </is>
      </c>
      <c r="H162" t="inlineStr">
        <is>
          <t>Campaña empleo</t>
        </is>
      </c>
      <c r="I162" t="n">
        <v>8</v>
      </c>
      <c r="J162" s="5" t="n">
        <v>2391</v>
      </c>
      <c r="K162" s="5">
        <f>ROUND(I162*J162,2)</f>
        <v/>
      </c>
      <c r="L162" s="3" t="n">
        <v>0.1</v>
      </c>
      <c r="M162" s="5">
        <f>ROUND(K162*(1-L162),2)</f>
        <v/>
      </c>
      <c r="N162" s="5" t="n">
        <v>8276.719999999999</v>
      </c>
      <c r="O162" s="5">
        <f>ROUND(M162-N162,2)</f>
        <v/>
      </c>
      <c r="P162" t="inlineStr">
        <is>
          <t>Emitida</t>
        </is>
      </c>
    </row>
    <row r="163">
      <c r="A163" t="inlineStr">
        <is>
          <t>ING-0162</t>
        </is>
      </c>
      <c r="B163" s="2" t="n">
        <v>45338</v>
      </c>
      <c r="C163" t="inlineStr">
        <is>
          <t>Retail Vision</t>
        </is>
      </c>
      <c r="D163" t="inlineStr">
        <is>
          <t>Educación</t>
        </is>
      </c>
      <c r="E163" t="inlineStr">
        <is>
          <t>Portugal</t>
        </is>
      </c>
      <c r="F163" t="inlineStr">
        <is>
          <t>Mantenimiento intranets</t>
        </is>
      </c>
      <c r="G163" t="inlineStr">
        <is>
          <t>Suscripción mensual</t>
        </is>
      </c>
      <c r="H163" t="inlineStr">
        <is>
          <t>Campaña empleo</t>
        </is>
      </c>
      <c r="I163" t="n">
        <v>5</v>
      </c>
      <c r="J163" s="5" t="n">
        <v>2251.89</v>
      </c>
      <c r="K163" s="5">
        <f>ROUND(I163*J163,2)</f>
        <v/>
      </c>
      <c r="L163" s="3" t="n">
        <v>0.1</v>
      </c>
      <c r="M163" s="5">
        <f>ROUND(K163*(1-L163),2)</f>
        <v/>
      </c>
      <c r="N163" s="5" t="n">
        <v>5407.28</v>
      </c>
      <c r="O163" s="5">
        <f>ROUND(M163-N163,2)</f>
        <v/>
      </c>
      <c r="P163" t="inlineStr">
        <is>
          <t>Pendiente</t>
        </is>
      </c>
    </row>
    <row r="164">
      <c r="A164" t="inlineStr">
        <is>
          <t>ING-0163</t>
        </is>
      </c>
      <c r="B164" s="2" t="n">
        <v>45589</v>
      </c>
      <c r="C164" t="inlineStr">
        <is>
          <t>FinanData</t>
        </is>
      </c>
      <c r="D164" t="inlineStr">
        <is>
          <t>Salud</t>
        </is>
      </c>
      <c r="E164" t="inlineStr">
        <is>
          <t>Chile</t>
        </is>
      </c>
      <c r="F164" t="inlineStr">
        <is>
          <t>Anuncios TV</t>
        </is>
      </c>
      <c r="G164" t="inlineStr">
        <is>
          <t>Proyecto puntual</t>
        </is>
      </c>
      <c r="H164" t="inlineStr">
        <is>
          <t>Campaña empleo</t>
        </is>
      </c>
      <c r="I164" t="n">
        <v>19</v>
      </c>
      <c r="J164" s="5" t="n">
        <v>1276.41</v>
      </c>
      <c r="K164" s="5">
        <f>ROUND(I164*J164,2)</f>
        <v/>
      </c>
      <c r="L164" s="3" t="n">
        <v>0</v>
      </c>
      <c r="M164" s="5">
        <f>ROUND(K164*(1-L164),2)</f>
        <v/>
      </c>
      <c r="N164" s="5" t="n">
        <v>15545.67</v>
      </c>
      <c r="O164" s="5">
        <f>ROUND(M164-N164,2)</f>
        <v/>
      </c>
      <c r="P164" t="inlineStr">
        <is>
          <t>Emitida</t>
        </is>
      </c>
    </row>
    <row r="165">
      <c r="A165" t="inlineStr">
        <is>
          <t>ING-0164</t>
        </is>
      </c>
      <c r="B165" s="2" t="n">
        <v>45465</v>
      </c>
      <c r="C165" t="inlineStr">
        <is>
          <t>TalentHub</t>
        </is>
      </c>
      <c r="D165" t="inlineStr">
        <is>
          <t>Legal</t>
        </is>
      </c>
      <c r="E165" t="inlineStr">
        <is>
          <t>España</t>
        </is>
      </c>
      <c r="F165" t="inlineStr">
        <is>
          <t>Mantenimiento web</t>
        </is>
      </c>
      <c r="G165" t="inlineStr">
        <is>
          <t>Retainer trimestral</t>
        </is>
      </c>
      <c r="H165" t="inlineStr">
        <is>
          <t>Centro de prensa</t>
        </is>
      </c>
      <c r="I165" t="n">
        <v>2</v>
      </c>
      <c r="J165" s="5" t="n">
        <v>1769.38</v>
      </c>
      <c r="K165" s="5">
        <f>ROUND(I165*J165,2)</f>
        <v/>
      </c>
      <c r="L165" s="3" t="n">
        <v>0.03</v>
      </c>
      <c r="M165" s="5">
        <f>ROUND(K165*(1-L165),2)</f>
        <v/>
      </c>
      <c r="N165" s="5" t="n">
        <v>1725.07</v>
      </c>
      <c r="O165" s="5">
        <f>ROUND(M165-N165,2)</f>
        <v/>
      </c>
      <c r="P165" t="inlineStr">
        <is>
          <t>Pendiente</t>
        </is>
      </c>
    </row>
    <row r="166">
      <c r="A166" t="inlineStr">
        <is>
          <t>ING-0165</t>
        </is>
      </c>
      <c r="B166" s="2" t="n">
        <v>45397</v>
      </c>
      <c r="C166" t="inlineStr">
        <is>
          <t>FinanData</t>
        </is>
      </c>
      <c r="D166" t="inlineStr">
        <is>
          <t>Finanzas</t>
        </is>
      </c>
      <c r="E166" t="inlineStr">
        <is>
          <t>España</t>
        </is>
      </c>
      <c r="F166" t="inlineStr">
        <is>
          <t>Publicación de noticias</t>
        </is>
      </c>
      <c r="G166" t="inlineStr">
        <is>
          <t>Soporte anual</t>
        </is>
      </c>
      <c r="H166" t="inlineStr">
        <is>
          <t>Sección noticias</t>
        </is>
      </c>
      <c r="I166" t="n">
        <v>10</v>
      </c>
      <c r="J166" s="5" t="n">
        <v>99.88</v>
      </c>
      <c r="K166" s="5">
        <f>ROUND(I166*J166,2)</f>
        <v/>
      </c>
      <c r="L166" s="3" t="n">
        <v>0.08</v>
      </c>
      <c r="M166" s="5">
        <f>ROUND(K166*(1-L166),2)</f>
        <v/>
      </c>
      <c r="N166" s="5" t="n">
        <v>614.87</v>
      </c>
      <c r="O166" s="5">
        <f>ROUND(M166-N166,2)</f>
        <v/>
      </c>
      <c r="P166" t="inlineStr">
        <is>
          <t>Cobrada</t>
        </is>
      </c>
    </row>
    <row r="167">
      <c r="A167" t="inlineStr">
        <is>
          <t>ING-0166</t>
        </is>
      </c>
      <c r="B167" s="2" t="n">
        <v>45681</v>
      </c>
      <c r="C167" t="inlineStr">
        <is>
          <t>SegurPlus</t>
        </is>
      </c>
      <c r="D167" t="inlineStr">
        <is>
          <t>Industria</t>
        </is>
      </c>
      <c r="E167" t="inlineStr">
        <is>
          <t>Portugal</t>
        </is>
      </c>
      <c r="F167" t="inlineStr">
        <is>
          <t>Traducciones</t>
        </is>
      </c>
      <c r="G167" t="inlineStr">
        <is>
          <t>Retainer trimestral</t>
        </is>
      </c>
      <c r="H167" t="inlineStr">
        <is>
          <t>Portal internacional</t>
        </is>
      </c>
      <c r="I167" t="n">
        <v>97</v>
      </c>
      <c r="J167" s="5" t="n">
        <v>128.74</v>
      </c>
      <c r="K167" s="5">
        <f>ROUND(I167*J167,2)</f>
        <v/>
      </c>
      <c r="L167" s="3" t="n">
        <v>0</v>
      </c>
      <c r="M167" s="5">
        <f>ROUND(K167*(1-L167),2)</f>
        <v/>
      </c>
      <c r="N167" s="5" t="n">
        <v>3552.36</v>
      </c>
      <c r="O167" s="5">
        <f>ROUND(M167-N167,2)</f>
        <v/>
      </c>
      <c r="P167" t="inlineStr">
        <is>
          <t>Emitida</t>
        </is>
      </c>
    </row>
    <row r="168">
      <c r="A168" t="inlineStr">
        <is>
          <t>ING-0167</t>
        </is>
      </c>
      <c r="B168" s="2" t="n">
        <v>45334</v>
      </c>
      <c r="C168" t="inlineStr">
        <is>
          <t>SegurPlus</t>
        </is>
      </c>
      <c r="D168" t="inlineStr">
        <is>
          <t>Retail</t>
        </is>
      </c>
      <c r="E168" t="inlineStr">
        <is>
          <t>Chile</t>
        </is>
      </c>
      <c r="F168" t="inlineStr">
        <is>
          <t>Mantenimiento web</t>
        </is>
      </c>
      <c r="G168" t="inlineStr">
        <is>
          <t>Suscripción mensual</t>
        </is>
      </c>
      <c r="H168" t="inlineStr">
        <is>
          <t>Intranet comercial</t>
        </is>
      </c>
      <c r="I168" t="n">
        <v>1</v>
      </c>
      <c r="J168" s="5" t="n">
        <v>4006.39</v>
      </c>
      <c r="K168" s="5">
        <f>ROUND(I168*J168,2)</f>
        <v/>
      </c>
      <c r="L168" s="3" t="n">
        <v>0.1</v>
      </c>
      <c r="M168" s="5">
        <f>ROUND(K168*(1-L168),2)</f>
        <v/>
      </c>
      <c r="N168" s="5" t="n">
        <v>2247.3</v>
      </c>
      <c r="O168" s="5">
        <f>ROUND(M168-N168,2)</f>
        <v/>
      </c>
      <c r="P168" t="inlineStr">
        <is>
          <t>Emitida</t>
        </is>
      </c>
    </row>
    <row r="169">
      <c r="A169" t="inlineStr">
        <is>
          <t>ING-0168</t>
        </is>
      </c>
      <c r="B169" s="2" t="n">
        <v>45482</v>
      </c>
      <c r="C169" t="inlineStr">
        <is>
          <t>Nova Salud</t>
        </is>
      </c>
      <c r="D169" t="inlineStr">
        <is>
          <t>Medios</t>
        </is>
      </c>
      <c r="E169" t="inlineStr">
        <is>
          <t>Chile</t>
        </is>
      </c>
      <c r="F169" t="inlineStr">
        <is>
          <t>Anuncios internet</t>
        </is>
      </c>
      <c r="G169" t="inlineStr">
        <is>
          <t>Suscripción mensual</t>
        </is>
      </c>
      <c r="H169" t="inlineStr">
        <is>
          <t>Sección noticias</t>
        </is>
      </c>
      <c r="I169" t="n">
        <v>16</v>
      </c>
      <c r="J169" s="5" t="n">
        <v>1991.58</v>
      </c>
      <c r="K169" s="5">
        <f>ROUND(I169*J169,2)</f>
        <v/>
      </c>
      <c r="L169" s="3" t="n">
        <v>0.03</v>
      </c>
      <c r="M169" s="5">
        <f>ROUND(K169*(1-L169),2)</f>
        <v/>
      </c>
      <c r="N169" s="5" t="n">
        <v>15352.14</v>
      </c>
      <c r="O169" s="5">
        <f>ROUND(M169-N169,2)</f>
        <v/>
      </c>
      <c r="P169" t="inlineStr">
        <is>
          <t>Cobrada</t>
        </is>
      </c>
    </row>
    <row r="170">
      <c r="A170" t="inlineStr">
        <is>
          <t>ING-0169</t>
        </is>
      </c>
      <c r="B170" s="2" t="n">
        <v>45677</v>
      </c>
      <c r="C170" t="inlineStr">
        <is>
          <t>Fundación Horizonte</t>
        </is>
      </c>
      <c r="D170" t="inlineStr">
        <is>
          <t>Turismo</t>
        </is>
      </c>
      <c r="E170" t="inlineStr">
        <is>
          <t>Portugal</t>
        </is>
      </c>
      <c r="F170" t="inlineStr">
        <is>
          <t>Anuncios prensa</t>
        </is>
      </c>
      <c r="G170" t="inlineStr">
        <is>
          <t>Suscripción mensual</t>
        </is>
      </c>
      <c r="H170" t="inlineStr">
        <is>
          <t>Sección noticias</t>
        </is>
      </c>
      <c r="I170" t="n">
        <v>27</v>
      </c>
      <c r="J170" s="5" t="n">
        <v>2298.51</v>
      </c>
      <c r="K170" s="5">
        <f>ROUND(I170*J170,2)</f>
        <v/>
      </c>
      <c r="L170" s="3" t="n">
        <v>0.08</v>
      </c>
      <c r="M170" s="5">
        <f>ROUND(K170*(1-L170),2)</f>
        <v/>
      </c>
      <c r="N170" s="5" t="n">
        <v>32743.4</v>
      </c>
      <c r="O170" s="5">
        <f>ROUND(M170-N170,2)</f>
        <v/>
      </c>
      <c r="P170" t="inlineStr">
        <is>
          <t>Pendiente</t>
        </is>
      </c>
    </row>
    <row r="171">
      <c r="A171" t="inlineStr">
        <is>
          <t>ING-0170</t>
        </is>
      </c>
      <c r="B171" s="2" t="n">
        <v>45331</v>
      </c>
      <c r="C171" t="inlineStr">
        <is>
          <t>FinanData</t>
        </is>
      </c>
      <c r="D171" t="inlineStr">
        <is>
          <t>Retail</t>
        </is>
      </c>
      <c r="E171" t="inlineStr">
        <is>
          <t>México</t>
        </is>
      </c>
      <c r="F171" t="inlineStr">
        <is>
          <t>Anuncios TV</t>
        </is>
      </c>
      <c r="G171" t="inlineStr">
        <is>
          <t>Soporte anual</t>
        </is>
      </c>
      <c r="H171" t="inlineStr">
        <is>
          <t>Portal corporativo</t>
        </is>
      </c>
      <c r="I171" t="n">
        <v>11</v>
      </c>
      <c r="J171" s="5" t="n">
        <v>1304.18</v>
      </c>
      <c r="K171" s="5">
        <f>ROUND(I171*J171,2)</f>
        <v/>
      </c>
      <c r="L171" s="3" t="n">
        <v>0.03</v>
      </c>
      <c r="M171" s="5">
        <f>ROUND(K171*(1-L171),2)</f>
        <v/>
      </c>
      <c r="N171" s="5" t="n">
        <v>9201.620000000001</v>
      </c>
      <c r="O171" s="5">
        <f>ROUND(M171-N171,2)</f>
        <v/>
      </c>
      <c r="P171" t="inlineStr">
        <is>
          <t>Cobrada</t>
        </is>
      </c>
    </row>
    <row r="172">
      <c r="A172" t="inlineStr">
        <is>
          <t>ING-0171</t>
        </is>
      </c>
      <c r="B172" s="2" t="n">
        <v>45598</v>
      </c>
      <c r="C172" t="inlineStr">
        <is>
          <t>Nova Salud</t>
        </is>
      </c>
      <c r="D172" t="inlineStr">
        <is>
          <t>Salud</t>
        </is>
      </c>
      <c r="E172" t="inlineStr">
        <is>
          <t>México</t>
        </is>
      </c>
      <c r="F172" t="inlineStr">
        <is>
          <t>Anuncios internet</t>
        </is>
      </c>
      <c r="G172" t="inlineStr">
        <is>
          <t>Proyecto puntual</t>
        </is>
      </c>
      <c r="H172" t="inlineStr">
        <is>
          <t>Microsite RRHH</t>
        </is>
      </c>
      <c r="I172" t="n">
        <v>18</v>
      </c>
      <c r="J172" s="5" t="n">
        <v>1171.52</v>
      </c>
      <c r="K172" s="5">
        <f>ROUND(I172*J172,2)</f>
        <v/>
      </c>
      <c r="L172" s="3" t="n">
        <v>0.03</v>
      </c>
      <c r="M172" s="5">
        <f>ROUND(K172*(1-L172),2)</f>
        <v/>
      </c>
      <c r="N172" s="5" t="n">
        <v>5509.88</v>
      </c>
      <c r="O172" s="5">
        <f>ROUND(M172-N172,2)</f>
        <v/>
      </c>
      <c r="P172" t="inlineStr">
        <is>
          <t>Pendiente</t>
        </is>
      </c>
    </row>
    <row r="173">
      <c r="A173" t="inlineStr">
        <is>
          <t>ING-0172</t>
        </is>
      </c>
      <c r="B173" s="2" t="n">
        <v>45368</v>
      </c>
      <c r="C173" t="inlineStr">
        <is>
          <t>EcoLogística</t>
        </is>
      </c>
      <c r="D173" t="inlineStr">
        <is>
          <t>Administración pública</t>
        </is>
      </c>
      <c r="E173" t="inlineStr">
        <is>
          <t>Chile</t>
        </is>
      </c>
      <c r="F173" t="inlineStr">
        <is>
          <t>Anuncios RRHH</t>
        </is>
      </c>
      <c r="G173" t="inlineStr">
        <is>
          <t>Suscripción mensual</t>
        </is>
      </c>
      <c r="H173" t="inlineStr">
        <is>
          <t>Campaña empleo</t>
        </is>
      </c>
      <c r="I173" t="n">
        <v>13</v>
      </c>
      <c r="J173" s="5" t="n">
        <v>1851.16</v>
      </c>
      <c r="K173" s="5">
        <f>ROUND(I173*J173,2)</f>
        <v/>
      </c>
      <c r="L173" s="3" t="n">
        <v>0.05</v>
      </c>
      <c r="M173" s="5">
        <f>ROUND(K173*(1-L173),2)</f>
        <v/>
      </c>
      <c r="N173" s="5" t="n">
        <v>8862.799999999999</v>
      </c>
      <c r="O173" s="5">
        <f>ROUND(M173-N173,2)</f>
        <v/>
      </c>
      <c r="P173" t="inlineStr">
        <is>
          <t>Emitida</t>
        </is>
      </c>
    </row>
    <row r="174">
      <c r="A174" t="inlineStr">
        <is>
          <t>ING-0173</t>
        </is>
      </c>
      <c r="B174" s="2" t="n">
        <v>45317</v>
      </c>
      <c r="C174" t="inlineStr">
        <is>
          <t>Industrias Vega</t>
        </is>
      </c>
      <c r="D174" t="inlineStr">
        <is>
          <t>Turismo</t>
        </is>
      </c>
      <c r="E174" t="inlineStr">
        <is>
          <t>Portugal</t>
        </is>
      </c>
      <c r="F174" t="inlineStr">
        <is>
          <t>Generación de noticias</t>
        </is>
      </c>
      <c r="G174" t="inlineStr">
        <is>
          <t>Soporte anual</t>
        </is>
      </c>
      <c r="H174" t="inlineStr">
        <is>
          <t>Microsite RRHH</t>
        </is>
      </c>
      <c r="I174" t="n">
        <v>34</v>
      </c>
      <c r="J174" s="5" t="n">
        <v>178.69</v>
      </c>
      <c r="K174" s="5">
        <f>ROUND(I174*J174,2)</f>
        <v/>
      </c>
      <c r="L174" s="3" t="n">
        <v>0.1</v>
      </c>
      <c r="M174" s="5">
        <f>ROUND(K174*(1-L174),2)</f>
        <v/>
      </c>
      <c r="N174" s="5" t="n">
        <v>2484.39</v>
      </c>
      <c r="O174" s="5">
        <f>ROUND(M174-N174,2)</f>
        <v/>
      </c>
      <c r="P174" t="inlineStr">
        <is>
          <t>Emitida</t>
        </is>
      </c>
    </row>
    <row r="175">
      <c r="A175" t="inlineStr">
        <is>
          <t>ING-0174</t>
        </is>
      </c>
      <c r="B175" s="2" t="n">
        <v>45415</v>
      </c>
      <c r="C175" t="inlineStr">
        <is>
          <t>Legal360</t>
        </is>
      </c>
      <c r="D175" t="inlineStr">
        <is>
          <t>Logística</t>
        </is>
      </c>
      <c r="E175" t="inlineStr">
        <is>
          <t>Chile</t>
        </is>
      </c>
      <c r="F175" t="inlineStr">
        <is>
          <t>Anuncios TV</t>
        </is>
      </c>
      <c r="G175" t="inlineStr">
        <is>
          <t>Soporte anual</t>
        </is>
      </c>
      <c r="H175" t="inlineStr">
        <is>
          <t>Intranet operaciones</t>
        </is>
      </c>
      <c r="I175" t="n">
        <v>22</v>
      </c>
      <c r="J175" s="5" t="n">
        <v>1253.96</v>
      </c>
      <c r="K175" s="5">
        <f>ROUND(I175*J175,2)</f>
        <v/>
      </c>
      <c r="L175" s="3" t="n">
        <v>0.08</v>
      </c>
      <c r="M175" s="5">
        <f>ROUND(K175*(1-L175),2)</f>
        <v/>
      </c>
      <c r="N175" s="5" t="n">
        <v>11721.6</v>
      </c>
      <c r="O175" s="5">
        <f>ROUND(M175-N175,2)</f>
        <v/>
      </c>
      <c r="P175" t="inlineStr">
        <is>
          <t>Cobrada</t>
        </is>
      </c>
    </row>
    <row r="176">
      <c r="A176" t="inlineStr">
        <is>
          <t>ING-0175</t>
        </is>
      </c>
      <c r="B176" s="2" t="n">
        <v>45702</v>
      </c>
      <c r="C176" t="inlineStr">
        <is>
          <t>Nova Salud</t>
        </is>
      </c>
      <c r="D176" t="inlineStr">
        <is>
          <t>Educación</t>
        </is>
      </c>
      <c r="E176" t="inlineStr">
        <is>
          <t>Colombia</t>
        </is>
      </c>
      <c r="F176" t="inlineStr">
        <is>
          <t>Mantenimiento web</t>
        </is>
      </c>
      <c r="G176" t="inlineStr">
        <is>
          <t>Retainer trimestral</t>
        </is>
      </c>
      <c r="H176" t="inlineStr">
        <is>
          <t>Intranet comercial</t>
        </is>
      </c>
      <c r="I176" t="n">
        <v>3</v>
      </c>
      <c r="J176" s="5" t="n">
        <v>1352.76</v>
      </c>
      <c r="K176" s="5">
        <f>ROUND(I176*J176,2)</f>
        <v/>
      </c>
      <c r="L176" s="3" t="n">
        <v>0.08</v>
      </c>
      <c r="M176" s="5">
        <f>ROUND(K176*(1-L176),2)</f>
        <v/>
      </c>
      <c r="N176" s="5" t="n">
        <v>1120.52</v>
      </c>
      <c r="O176" s="5">
        <f>ROUND(M176-N176,2)</f>
        <v/>
      </c>
      <c r="P176" t="inlineStr">
        <is>
          <t>Pendiente</t>
        </is>
      </c>
    </row>
    <row r="177">
      <c r="A177" t="inlineStr">
        <is>
          <t>ING-0176</t>
        </is>
      </c>
      <c r="B177" s="2" t="n">
        <v>45572</v>
      </c>
      <c r="C177" t="inlineStr">
        <is>
          <t>ClinicPoint</t>
        </is>
      </c>
      <c r="D177" t="inlineStr">
        <is>
          <t>Industria</t>
        </is>
      </c>
      <c r="E177" t="inlineStr">
        <is>
          <t>Portugal</t>
        </is>
      </c>
      <c r="F177" t="inlineStr">
        <is>
          <t>Mantenimiento web</t>
        </is>
      </c>
      <c r="G177" t="inlineStr">
        <is>
          <t>Soporte anual</t>
        </is>
      </c>
      <c r="H177" t="inlineStr">
        <is>
          <t>Campaña empleo</t>
        </is>
      </c>
      <c r="I177" t="n">
        <v>5</v>
      </c>
      <c r="J177" s="5" t="n">
        <v>4363.75</v>
      </c>
      <c r="K177" s="5">
        <f>ROUND(I177*J177,2)</f>
        <v/>
      </c>
      <c r="L177" s="3" t="n">
        <v>0.05</v>
      </c>
      <c r="M177" s="5">
        <f>ROUND(K177*(1-L177),2)</f>
        <v/>
      </c>
      <c r="N177" s="5" t="n">
        <v>11494.64</v>
      </c>
      <c r="O177" s="5">
        <f>ROUND(M177-N177,2)</f>
        <v/>
      </c>
      <c r="P177" t="inlineStr">
        <is>
          <t>Pendiente</t>
        </is>
      </c>
    </row>
    <row r="178">
      <c r="A178" t="inlineStr">
        <is>
          <t>ING-0177</t>
        </is>
      </c>
      <c r="B178" s="2" t="n">
        <v>45636</v>
      </c>
      <c r="C178" t="inlineStr">
        <is>
          <t>EducaPro</t>
        </is>
      </c>
      <c r="D178" t="inlineStr">
        <is>
          <t>Retail</t>
        </is>
      </c>
      <c r="E178" t="inlineStr">
        <is>
          <t>Colombia</t>
        </is>
      </c>
      <c r="F178" t="inlineStr">
        <is>
          <t>Mantenimiento intranets</t>
        </is>
      </c>
      <c r="G178" t="inlineStr">
        <is>
          <t>Soporte anual</t>
        </is>
      </c>
      <c r="H178" t="inlineStr">
        <is>
          <t>Centro de prensa</t>
        </is>
      </c>
      <c r="I178" t="n">
        <v>2</v>
      </c>
      <c r="J178" s="5" t="n">
        <v>2338.95</v>
      </c>
      <c r="K178" s="5">
        <f>ROUND(I178*J178,2)</f>
        <v/>
      </c>
      <c r="L178" s="3" t="n">
        <v>0.1</v>
      </c>
      <c r="M178" s="5">
        <f>ROUND(K178*(1-L178),2)</f>
        <v/>
      </c>
      <c r="N178" s="5" t="n">
        <v>1656.72</v>
      </c>
      <c r="O178" s="5">
        <f>ROUND(M178-N178,2)</f>
        <v/>
      </c>
      <c r="P178" t="inlineStr">
        <is>
          <t>Emitida</t>
        </is>
      </c>
    </row>
    <row r="179">
      <c r="A179" t="inlineStr">
        <is>
          <t>ING-0178</t>
        </is>
      </c>
      <c r="B179" s="2" t="n">
        <v>45500</v>
      </c>
      <c r="C179" t="inlineStr">
        <is>
          <t>Fundación Horizonte</t>
        </is>
      </c>
      <c r="D179" t="inlineStr">
        <is>
          <t>Retail</t>
        </is>
      </c>
      <c r="E179" t="inlineStr">
        <is>
          <t>España</t>
        </is>
      </c>
      <c r="F179" t="inlineStr">
        <is>
          <t>Anuncios TV</t>
        </is>
      </c>
      <c r="G179" t="inlineStr">
        <is>
          <t>Proyecto puntual</t>
        </is>
      </c>
      <c r="H179" t="inlineStr">
        <is>
          <t>Microsite RRHH</t>
        </is>
      </c>
      <c r="I179" t="n">
        <v>22</v>
      </c>
      <c r="J179" s="5" t="n">
        <v>1723.31</v>
      </c>
      <c r="K179" s="5">
        <f>ROUND(I179*J179,2)</f>
        <v/>
      </c>
      <c r="L179" s="3" t="n">
        <v>0.1</v>
      </c>
      <c r="M179" s="5">
        <f>ROUND(K179*(1-L179),2)</f>
        <v/>
      </c>
      <c r="N179" s="5" t="n">
        <v>21388.08</v>
      </c>
      <c r="O179" s="5">
        <f>ROUND(M179-N179,2)</f>
        <v/>
      </c>
      <c r="P179" t="inlineStr">
        <is>
          <t>Emitida</t>
        </is>
      </c>
    </row>
    <row r="180">
      <c r="A180" t="inlineStr">
        <is>
          <t>ING-0179</t>
        </is>
      </c>
      <c r="B180" s="2" t="n">
        <v>45690</v>
      </c>
      <c r="C180" t="inlineStr">
        <is>
          <t>Ayuntamiento Norte</t>
        </is>
      </c>
      <c r="D180" t="inlineStr">
        <is>
          <t>Educación</t>
        </is>
      </c>
      <c r="E180" t="inlineStr">
        <is>
          <t>Colombia</t>
        </is>
      </c>
      <c r="F180" t="inlineStr">
        <is>
          <t>Anuncios RRHH</t>
        </is>
      </c>
      <c r="G180" t="inlineStr">
        <is>
          <t>Suscripción mensual</t>
        </is>
      </c>
      <c r="H180" t="inlineStr">
        <is>
          <t>Microsite RRHH</t>
        </is>
      </c>
      <c r="I180" t="n">
        <v>15</v>
      </c>
      <c r="J180" s="5" t="n">
        <v>652.6</v>
      </c>
      <c r="K180" s="5">
        <f>ROUND(I180*J180,2)</f>
        <v/>
      </c>
      <c r="L180" s="3" t="n">
        <v>0.03</v>
      </c>
      <c r="M180" s="5">
        <f>ROUND(K180*(1-L180),2)</f>
        <v/>
      </c>
      <c r="N180" s="5" t="n">
        <v>3750.4</v>
      </c>
      <c r="O180" s="5">
        <f>ROUND(M180-N180,2)</f>
        <v/>
      </c>
      <c r="P180" t="inlineStr">
        <is>
          <t>Pendiente</t>
        </is>
      </c>
    </row>
    <row r="181">
      <c r="A181" t="inlineStr">
        <is>
          <t>ING-0180</t>
        </is>
      </c>
      <c r="B181" s="2" t="n">
        <v>45440</v>
      </c>
      <c r="C181" t="inlineStr">
        <is>
          <t>Nova Salud</t>
        </is>
      </c>
      <c r="D181" t="inlineStr">
        <is>
          <t>Retail</t>
        </is>
      </c>
      <c r="E181" t="inlineStr">
        <is>
          <t>Colombia</t>
        </is>
      </c>
      <c r="F181" t="inlineStr">
        <is>
          <t>Anuncios prensa</t>
        </is>
      </c>
      <c r="G181" t="inlineStr">
        <is>
          <t>Proyecto puntual</t>
        </is>
      </c>
      <c r="H181" t="inlineStr">
        <is>
          <t>Portal internacional</t>
        </is>
      </c>
      <c r="I181" t="n">
        <v>13</v>
      </c>
      <c r="J181" s="5" t="n">
        <v>2373.43</v>
      </c>
      <c r="K181" s="5">
        <f>ROUND(I181*J181,2)</f>
        <v/>
      </c>
      <c r="L181" s="3" t="n">
        <v>0.03</v>
      </c>
      <c r="M181" s="5">
        <f>ROUND(K181*(1-L181),2)</f>
        <v/>
      </c>
      <c r="N181" s="5" t="n">
        <v>12671.25</v>
      </c>
      <c r="O181" s="5">
        <f>ROUND(M181-N181,2)</f>
        <v/>
      </c>
      <c r="P181" t="inlineStr">
        <is>
          <t>Pendiente</t>
        </is>
      </c>
    </row>
    <row r="182">
      <c r="A182" t="inlineStr">
        <is>
          <t>ING-0181</t>
        </is>
      </c>
      <c r="B182" s="2" t="n">
        <v>45303</v>
      </c>
      <c r="C182" t="inlineStr">
        <is>
          <t>EducaPro</t>
        </is>
      </c>
      <c r="D182" t="inlineStr">
        <is>
          <t>Industria</t>
        </is>
      </c>
      <c r="E182" t="inlineStr">
        <is>
          <t>Colombia</t>
        </is>
      </c>
      <c r="F182" t="inlineStr">
        <is>
          <t>Publicación de noticias</t>
        </is>
      </c>
      <c r="G182" t="inlineStr">
        <is>
          <t>Retainer trimestral</t>
        </is>
      </c>
      <c r="H182" t="inlineStr">
        <is>
          <t>Microsite RRHH</t>
        </is>
      </c>
      <c r="I182" t="n">
        <v>29</v>
      </c>
      <c r="J182" s="5" t="n">
        <v>174.29</v>
      </c>
      <c r="K182" s="5">
        <f>ROUND(I182*J182,2)</f>
        <v/>
      </c>
      <c r="L182" s="3" t="n">
        <v>0.03</v>
      </c>
      <c r="M182" s="5">
        <f>ROUND(K182*(1-L182),2)</f>
        <v/>
      </c>
      <c r="N182" s="5" t="n">
        <v>3244.52</v>
      </c>
      <c r="O182" s="5">
        <f>ROUND(M182-N182,2)</f>
        <v/>
      </c>
      <c r="P182" t="inlineStr">
        <is>
          <t>Cobrada</t>
        </is>
      </c>
    </row>
    <row r="183">
      <c r="A183" t="inlineStr">
        <is>
          <t>ING-0182</t>
        </is>
      </c>
      <c r="B183" s="2" t="n">
        <v>45303</v>
      </c>
      <c r="C183" t="inlineStr">
        <is>
          <t>BioMedic</t>
        </is>
      </c>
      <c r="D183" t="inlineStr">
        <is>
          <t>RRHH</t>
        </is>
      </c>
      <c r="E183" t="inlineStr">
        <is>
          <t>España</t>
        </is>
      </c>
      <c r="F183" t="inlineStr">
        <is>
          <t>Anuncios TV</t>
        </is>
      </c>
      <c r="G183" t="inlineStr">
        <is>
          <t>Retainer trimestral</t>
        </is>
      </c>
      <c r="H183" t="inlineStr">
        <is>
          <t>Campaña empleo</t>
        </is>
      </c>
      <c r="I183" t="n">
        <v>28</v>
      </c>
      <c r="J183" s="5" t="n">
        <v>1396.33</v>
      </c>
      <c r="K183" s="5">
        <f>ROUND(I183*J183,2)</f>
        <v/>
      </c>
      <c r="L183" s="3" t="n">
        <v>0.08</v>
      </c>
      <c r="M183" s="5">
        <f>ROUND(K183*(1-L183),2)</f>
        <v/>
      </c>
      <c r="N183" s="5" t="n">
        <v>25178.62</v>
      </c>
      <c r="O183" s="5">
        <f>ROUND(M183-N183,2)</f>
        <v/>
      </c>
      <c r="P183" t="inlineStr">
        <is>
          <t>Pendiente</t>
        </is>
      </c>
    </row>
    <row r="184">
      <c r="A184" t="inlineStr">
        <is>
          <t>ING-0183</t>
        </is>
      </c>
      <c r="B184" s="2" t="n">
        <v>45663</v>
      </c>
      <c r="C184" t="inlineStr">
        <is>
          <t>FinanData</t>
        </is>
      </c>
      <c r="D184" t="inlineStr">
        <is>
          <t>Industria</t>
        </is>
      </c>
      <c r="E184" t="inlineStr">
        <is>
          <t>Chile</t>
        </is>
      </c>
      <c r="F184" t="inlineStr">
        <is>
          <t>Anuncios TV</t>
        </is>
      </c>
      <c r="G184" t="inlineStr">
        <is>
          <t>Suscripción mensual</t>
        </is>
      </c>
      <c r="H184" t="inlineStr">
        <is>
          <t>Portal internacional</t>
        </is>
      </c>
      <c r="I184" t="n">
        <v>7</v>
      </c>
      <c r="J184" s="5" t="n">
        <v>2101.48</v>
      </c>
      <c r="K184" s="5">
        <f>ROUND(I184*J184,2)</f>
        <v/>
      </c>
      <c r="L184" s="3" t="n">
        <v>0</v>
      </c>
      <c r="M184" s="5">
        <f>ROUND(K184*(1-L184),2)</f>
        <v/>
      </c>
      <c r="N184" s="5" t="n">
        <v>5419.82</v>
      </c>
      <c r="O184" s="5">
        <f>ROUND(M184-N184,2)</f>
        <v/>
      </c>
      <c r="P184" t="inlineStr">
        <is>
          <t>Cobrada</t>
        </is>
      </c>
    </row>
    <row r="185">
      <c r="A185" t="inlineStr">
        <is>
          <t>ING-0184</t>
        </is>
      </c>
      <c r="B185" s="2" t="n">
        <v>45683</v>
      </c>
      <c r="C185" t="inlineStr">
        <is>
          <t>Industrias Vega</t>
        </is>
      </c>
      <c r="D185" t="inlineStr">
        <is>
          <t>Finanzas</t>
        </is>
      </c>
      <c r="E185" t="inlineStr">
        <is>
          <t>Chile</t>
        </is>
      </c>
      <c r="F185" t="inlineStr">
        <is>
          <t>Mantenimiento web</t>
        </is>
      </c>
      <c r="G185" t="inlineStr">
        <is>
          <t>Retainer trimestral</t>
        </is>
      </c>
      <c r="H185" t="inlineStr">
        <is>
          <t>Portal internacional</t>
        </is>
      </c>
      <c r="I185" t="n">
        <v>4</v>
      </c>
      <c r="J185" s="5" t="n">
        <v>1636.7</v>
      </c>
      <c r="K185" s="5">
        <f>ROUND(I185*J185,2)</f>
        <v/>
      </c>
      <c r="L185" s="3" t="n">
        <v>0.1</v>
      </c>
      <c r="M185" s="5">
        <f>ROUND(K185*(1-L185),2)</f>
        <v/>
      </c>
      <c r="N185" s="5" t="n">
        <v>2245.15</v>
      </c>
      <c r="O185" s="5">
        <f>ROUND(M185-N185,2)</f>
        <v/>
      </c>
      <c r="P185" t="inlineStr">
        <is>
          <t>Emitida</t>
        </is>
      </c>
    </row>
    <row r="186">
      <c r="A186" t="inlineStr">
        <is>
          <t>ING-0185</t>
        </is>
      </c>
      <c r="B186" s="2" t="n">
        <v>45340</v>
      </c>
      <c r="C186" t="inlineStr">
        <is>
          <t>Smart Factory</t>
        </is>
      </c>
      <c r="D186" t="inlineStr">
        <is>
          <t>Industria</t>
        </is>
      </c>
      <c r="E186" t="inlineStr">
        <is>
          <t>Chile</t>
        </is>
      </c>
      <c r="F186" t="inlineStr">
        <is>
          <t>Anuncios prensa</t>
        </is>
      </c>
      <c r="G186" t="inlineStr">
        <is>
          <t>Campaña</t>
        </is>
      </c>
      <c r="H186" t="inlineStr">
        <is>
          <t>Intranet comercial</t>
        </is>
      </c>
      <c r="I186" t="n">
        <v>27</v>
      </c>
      <c r="J186" s="5" t="n">
        <v>482.33</v>
      </c>
      <c r="K186" s="5">
        <f>ROUND(I186*J186,2)</f>
        <v/>
      </c>
      <c r="L186" s="3" t="n">
        <v>0.08</v>
      </c>
      <c r="M186" s="5">
        <f>ROUND(K186*(1-L186),2)</f>
        <v/>
      </c>
      <c r="N186" s="5" t="n">
        <v>3827.88</v>
      </c>
      <c r="O186" s="5">
        <f>ROUND(M186-N186,2)</f>
        <v/>
      </c>
      <c r="P186" t="inlineStr">
        <is>
          <t>Emitida</t>
        </is>
      </c>
    </row>
    <row r="187">
      <c r="A187" t="inlineStr">
        <is>
          <t>ING-0186</t>
        </is>
      </c>
      <c r="B187" s="2" t="n">
        <v>45402</v>
      </c>
      <c r="C187" t="inlineStr">
        <is>
          <t>FinanData</t>
        </is>
      </c>
      <c r="D187" t="inlineStr">
        <is>
          <t>Administración pública</t>
        </is>
      </c>
      <c r="E187" t="inlineStr">
        <is>
          <t>México</t>
        </is>
      </c>
      <c r="F187" t="inlineStr">
        <is>
          <t>Mantenimiento intranets</t>
        </is>
      </c>
      <c r="G187" t="inlineStr">
        <is>
          <t>Proyecto puntual</t>
        </is>
      </c>
      <c r="H187" t="inlineStr">
        <is>
          <t>Portal corporativo</t>
        </is>
      </c>
      <c r="I187" t="n">
        <v>2</v>
      </c>
      <c r="J187" s="5" t="n">
        <v>3171.14</v>
      </c>
      <c r="K187" s="5">
        <f>ROUND(I187*J187,2)</f>
        <v/>
      </c>
      <c r="L187" s="3" t="n">
        <v>0.05</v>
      </c>
      <c r="M187" s="5">
        <f>ROUND(K187*(1-L187),2)</f>
        <v/>
      </c>
      <c r="N187" s="5" t="n">
        <v>2125.53</v>
      </c>
      <c r="O187" s="5">
        <f>ROUND(M187-N187,2)</f>
        <v/>
      </c>
      <c r="P187" t="inlineStr">
        <is>
          <t>Emitida</t>
        </is>
      </c>
    </row>
    <row r="188">
      <c r="A188" t="inlineStr">
        <is>
          <t>ING-0187</t>
        </is>
      </c>
      <c r="B188" s="2" t="n">
        <v>45680</v>
      </c>
      <c r="C188" t="inlineStr">
        <is>
          <t>SegurPlus</t>
        </is>
      </c>
      <c r="D188" t="inlineStr">
        <is>
          <t>Administración pública</t>
        </is>
      </c>
      <c r="E188" t="inlineStr">
        <is>
          <t>España</t>
        </is>
      </c>
      <c r="F188" t="inlineStr">
        <is>
          <t>Traducciones</t>
        </is>
      </c>
      <c r="G188" t="inlineStr">
        <is>
          <t>Campaña</t>
        </is>
      </c>
      <c r="H188" t="inlineStr">
        <is>
          <t>Microsite RRHH</t>
        </is>
      </c>
      <c r="I188" t="n">
        <v>101</v>
      </c>
      <c r="J188" s="5" t="n">
        <v>125.66</v>
      </c>
      <c r="K188" s="5">
        <f>ROUND(I188*J188,2)</f>
        <v/>
      </c>
      <c r="L188" s="3" t="n">
        <v>0.08</v>
      </c>
      <c r="M188" s="5">
        <f>ROUND(K188*(1-L188),2)</f>
        <v/>
      </c>
      <c r="N188" s="5" t="n">
        <v>5928.41</v>
      </c>
      <c r="O188" s="5">
        <f>ROUND(M188-N188,2)</f>
        <v/>
      </c>
      <c r="P188" t="inlineStr">
        <is>
          <t>Pendiente</t>
        </is>
      </c>
    </row>
    <row r="189">
      <c r="A189" t="inlineStr">
        <is>
          <t>ING-0188</t>
        </is>
      </c>
      <c r="B189" s="2" t="n">
        <v>45305</v>
      </c>
      <c r="C189" t="inlineStr">
        <is>
          <t>Grupo Atlas</t>
        </is>
      </c>
      <c r="D189" t="inlineStr">
        <is>
          <t>Logística</t>
        </is>
      </c>
      <c r="E189" t="inlineStr">
        <is>
          <t>España</t>
        </is>
      </c>
      <c r="F189" t="inlineStr">
        <is>
          <t>Anuncios TV</t>
        </is>
      </c>
      <c r="G189" t="inlineStr">
        <is>
          <t>Retainer trimestral</t>
        </is>
      </c>
      <c r="H189" t="inlineStr">
        <is>
          <t>Microsite RRHH</t>
        </is>
      </c>
      <c r="I189" t="n">
        <v>2</v>
      </c>
      <c r="J189" s="5" t="n">
        <v>2292.05</v>
      </c>
      <c r="K189" s="5">
        <f>ROUND(I189*J189,2)</f>
        <v/>
      </c>
      <c r="L189" s="3" t="n">
        <v>0</v>
      </c>
      <c r="M189" s="5">
        <f>ROUND(K189*(1-L189),2)</f>
        <v/>
      </c>
      <c r="N189" s="5" t="n">
        <v>1557.41</v>
      </c>
      <c r="O189" s="5">
        <f>ROUND(M189-N189,2)</f>
        <v/>
      </c>
      <c r="P189" t="inlineStr">
        <is>
          <t>Pendiente</t>
        </is>
      </c>
    </row>
    <row r="190">
      <c r="A190" t="inlineStr">
        <is>
          <t>ING-0189</t>
        </is>
      </c>
      <c r="B190" s="2" t="n">
        <v>45485</v>
      </c>
      <c r="C190" t="inlineStr">
        <is>
          <t>SegurPlus</t>
        </is>
      </c>
      <c r="D190" t="inlineStr">
        <is>
          <t>Industria</t>
        </is>
      </c>
      <c r="E190" t="inlineStr">
        <is>
          <t>Colombia</t>
        </is>
      </c>
      <c r="F190" t="inlineStr">
        <is>
          <t>Publicación de noticias</t>
        </is>
      </c>
      <c r="G190" t="inlineStr">
        <is>
          <t>Retainer trimestral</t>
        </is>
      </c>
      <c r="H190" t="inlineStr">
        <is>
          <t>Centro de prensa</t>
        </is>
      </c>
      <c r="I190" t="n">
        <v>72</v>
      </c>
      <c r="J190" s="5" t="n">
        <v>169.41</v>
      </c>
      <c r="K190" s="5">
        <f>ROUND(I190*J190,2)</f>
        <v/>
      </c>
      <c r="L190" s="3" t="n">
        <v>0.08</v>
      </c>
      <c r="M190" s="5">
        <f>ROUND(K190*(1-L190),2)</f>
        <v/>
      </c>
      <c r="N190" s="5" t="n">
        <v>4331.06</v>
      </c>
      <c r="O190" s="5">
        <f>ROUND(M190-N190,2)</f>
        <v/>
      </c>
      <c r="P190" t="inlineStr">
        <is>
          <t>Emitida</t>
        </is>
      </c>
    </row>
    <row r="191">
      <c r="A191" t="inlineStr">
        <is>
          <t>ING-0190</t>
        </is>
      </c>
      <c r="B191" s="2" t="n">
        <v>45480</v>
      </c>
      <c r="C191" t="inlineStr">
        <is>
          <t>Smart Factory</t>
        </is>
      </c>
      <c r="D191" t="inlineStr">
        <is>
          <t>Tecnología</t>
        </is>
      </c>
      <c r="E191" t="inlineStr">
        <is>
          <t>Portugal</t>
        </is>
      </c>
      <c r="F191" t="inlineStr">
        <is>
          <t>Anuncios prensa</t>
        </is>
      </c>
      <c r="G191" t="inlineStr">
        <is>
          <t>Suscripción mensual</t>
        </is>
      </c>
      <c r="H191" t="inlineStr">
        <is>
          <t>Intranet comercial</t>
        </is>
      </c>
      <c r="I191" t="n">
        <v>30</v>
      </c>
      <c r="J191" s="5" t="n">
        <v>1609.49</v>
      </c>
      <c r="K191" s="5">
        <f>ROUND(I191*J191,2)</f>
        <v/>
      </c>
      <c r="L191" s="3" t="n">
        <v>0.03</v>
      </c>
      <c r="M191" s="5">
        <f>ROUND(K191*(1-L191),2)</f>
        <v/>
      </c>
      <c r="N191" s="5" t="n">
        <v>16508.11</v>
      </c>
      <c r="O191" s="5">
        <f>ROUND(M191-N191,2)</f>
        <v/>
      </c>
      <c r="P191" t="inlineStr">
        <is>
          <t>Pendiente</t>
        </is>
      </c>
    </row>
    <row r="192">
      <c r="A192" t="inlineStr">
        <is>
          <t>ING-0191</t>
        </is>
      </c>
      <c r="B192" s="2" t="n">
        <v>45438</v>
      </c>
      <c r="C192" t="inlineStr">
        <is>
          <t>Innova Retail</t>
        </is>
      </c>
      <c r="D192" t="inlineStr">
        <is>
          <t>Legal</t>
        </is>
      </c>
      <c r="E192" t="inlineStr">
        <is>
          <t>México</t>
        </is>
      </c>
      <c r="F192" t="inlineStr">
        <is>
          <t>Traducciones</t>
        </is>
      </c>
      <c r="G192" t="inlineStr">
        <is>
          <t>Proyecto puntual</t>
        </is>
      </c>
      <c r="H192" t="inlineStr">
        <is>
          <t>Campaña empleo</t>
        </is>
      </c>
      <c r="I192" t="n">
        <v>116</v>
      </c>
      <c r="J192" s="5" t="n">
        <v>113.63</v>
      </c>
      <c r="K192" s="5">
        <f>ROUND(I192*J192,2)</f>
        <v/>
      </c>
      <c r="L192" s="3" t="n">
        <v>0.05</v>
      </c>
      <c r="M192" s="5">
        <f>ROUND(K192*(1-L192),2)</f>
        <v/>
      </c>
      <c r="N192" s="5" t="n">
        <v>7670.42</v>
      </c>
      <c r="O192" s="5">
        <f>ROUND(M192-N192,2)</f>
        <v/>
      </c>
      <c r="P192" t="inlineStr">
        <is>
          <t>Pendiente</t>
        </is>
      </c>
    </row>
    <row r="193">
      <c r="A193" t="inlineStr">
        <is>
          <t>ING-0192</t>
        </is>
      </c>
      <c r="B193" s="2" t="n">
        <v>45500</v>
      </c>
      <c r="C193" t="inlineStr">
        <is>
          <t>TechSphere</t>
        </is>
      </c>
      <c r="D193" t="inlineStr">
        <is>
          <t>Retail</t>
        </is>
      </c>
      <c r="E193" t="inlineStr">
        <is>
          <t>Portugal</t>
        </is>
      </c>
      <c r="F193" t="inlineStr">
        <is>
          <t>Anuncios internet</t>
        </is>
      </c>
      <c r="G193" t="inlineStr">
        <is>
          <t>Proyecto puntual</t>
        </is>
      </c>
      <c r="H193" t="inlineStr">
        <is>
          <t>Sección noticias</t>
        </is>
      </c>
      <c r="I193" t="n">
        <v>28</v>
      </c>
      <c r="J193" s="5" t="n">
        <v>211.98</v>
      </c>
      <c r="K193" s="5">
        <f>ROUND(I193*J193,2)</f>
        <v/>
      </c>
      <c r="L193" s="3" t="n">
        <v>0</v>
      </c>
      <c r="M193" s="5">
        <f>ROUND(K193*(1-L193),2)</f>
        <v/>
      </c>
      <c r="N193" s="5" t="n">
        <v>1839.4</v>
      </c>
      <c r="O193" s="5">
        <f>ROUND(M193-N193,2)</f>
        <v/>
      </c>
      <c r="P193" t="inlineStr">
        <is>
          <t>Emitida</t>
        </is>
      </c>
    </row>
    <row r="194">
      <c r="A194" t="inlineStr">
        <is>
          <t>ING-0193</t>
        </is>
      </c>
      <c r="B194" s="2" t="n">
        <v>45422</v>
      </c>
      <c r="C194" t="inlineStr">
        <is>
          <t>Nova Salud</t>
        </is>
      </c>
      <c r="D194" t="inlineStr">
        <is>
          <t>RRHH</t>
        </is>
      </c>
      <c r="E194" t="inlineStr">
        <is>
          <t>México</t>
        </is>
      </c>
      <c r="F194" t="inlineStr">
        <is>
          <t>Anuncios internet</t>
        </is>
      </c>
      <c r="G194" t="inlineStr">
        <is>
          <t>Proyecto puntual</t>
        </is>
      </c>
      <c r="H194" t="inlineStr">
        <is>
          <t>Microsite RRHH</t>
        </is>
      </c>
      <c r="I194" t="n">
        <v>12</v>
      </c>
      <c r="J194" s="5" t="n">
        <v>943.58</v>
      </c>
      <c r="K194" s="5">
        <f>ROUND(I194*J194,2)</f>
        <v/>
      </c>
      <c r="L194" s="3" t="n">
        <v>0.1</v>
      </c>
      <c r="M194" s="5">
        <f>ROUND(K194*(1-L194),2)</f>
        <v/>
      </c>
      <c r="N194" s="5" t="n">
        <v>3204.41</v>
      </c>
      <c r="O194" s="5">
        <f>ROUND(M194-N194,2)</f>
        <v/>
      </c>
      <c r="P194" t="inlineStr">
        <is>
          <t>Emitida</t>
        </is>
      </c>
    </row>
    <row r="195">
      <c r="A195" t="inlineStr">
        <is>
          <t>ING-0194</t>
        </is>
      </c>
      <c r="B195" s="2" t="n">
        <v>45494</v>
      </c>
      <c r="C195" t="inlineStr">
        <is>
          <t>Legal360</t>
        </is>
      </c>
      <c r="D195" t="inlineStr">
        <is>
          <t>Administración pública</t>
        </is>
      </c>
      <c r="E195" t="inlineStr">
        <is>
          <t>España</t>
        </is>
      </c>
      <c r="F195" t="inlineStr">
        <is>
          <t>Anuncios RRHH</t>
        </is>
      </c>
      <c r="G195" t="inlineStr">
        <is>
          <t>Soporte anual</t>
        </is>
      </c>
      <c r="H195" t="inlineStr">
        <is>
          <t>Intranet comercial</t>
        </is>
      </c>
      <c r="I195" t="n">
        <v>26</v>
      </c>
      <c r="J195" s="5" t="n">
        <v>2011.28</v>
      </c>
      <c r="K195" s="5">
        <f>ROUND(I195*J195,2)</f>
        <v/>
      </c>
      <c r="L195" s="3" t="n">
        <v>0</v>
      </c>
      <c r="M195" s="5">
        <f>ROUND(K195*(1-L195),2)</f>
        <v/>
      </c>
      <c r="N195" s="5" t="n">
        <v>18417.07</v>
      </c>
      <c r="O195" s="5">
        <f>ROUND(M195-N195,2)</f>
        <v/>
      </c>
      <c r="P195" t="inlineStr">
        <is>
          <t>Pendiente</t>
        </is>
      </c>
    </row>
    <row r="196">
      <c r="A196" t="inlineStr">
        <is>
          <t>ING-0195</t>
        </is>
      </c>
      <c r="B196" s="2" t="n">
        <v>45390</v>
      </c>
      <c r="C196" t="inlineStr">
        <is>
          <t>Nova Salud</t>
        </is>
      </c>
      <c r="D196" t="inlineStr">
        <is>
          <t>Legal</t>
        </is>
      </c>
      <c r="E196" t="inlineStr">
        <is>
          <t>Portugal</t>
        </is>
      </c>
      <c r="F196" t="inlineStr">
        <is>
          <t>Publicación de noticias</t>
        </is>
      </c>
      <c r="G196" t="inlineStr">
        <is>
          <t>Retainer trimestral</t>
        </is>
      </c>
      <c r="H196" t="inlineStr">
        <is>
          <t>Microsite RRHH</t>
        </is>
      </c>
      <c r="I196" t="n">
        <v>104</v>
      </c>
      <c r="J196" s="5" t="n">
        <v>158.52</v>
      </c>
      <c r="K196" s="5">
        <f>ROUND(I196*J196,2)</f>
        <v/>
      </c>
      <c r="L196" s="3" t="n">
        <v>0.05</v>
      </c>
      <c r="M196" s="5">
        <f>ROUND(K196*(1-L196),2)</f>
        <v/>
      </c>
      <c r="N196" s="5" t="n">
        <v>10776.68</v>
      </c>
      <c r="O196" s="5">
        <f>ROUND(M196-N196,2)</f>
        <v/>
      </c>
      <c r="P196" t="inlineStr">
        <is>
          <t>Pendiente</t>
        </is>
      </c>
    </row>
    <row r="197">
      <c r="A197" t="inlineStr">
        <is>
          <t>ING-0196</t>
        </is>
      </c>
      <c r="B197" s="2" t="n">
        <v>45456</v>
      </c>
      <c r="C197" t="inlineStr">
        <is>
          <t>TechSphere</t>
        </is>
      </c>
      <c r="D197" t="inlineStr">
        <is>
          <t>Educación</t>
        </is>
      </c>
      <c r="E197" t="inlineStr">
        <is>
          <t>Portugal</t>
        </is>
      </c>
      <c r="F197" t="inlineStr">
        <is>
          <t>Traducciones</t>
        </is>
      </c>
      <c r="G197" t="inlineStr">
        <is>
          <t>Proyecto puntual</t>
        </is>
      </c>
      <c r="H197" t="inlineStr">
        <is>
          <t>Centro de prensa</t>
        </is>
      </c>
      <c r="I197" t="n">
        <v>54</v>
      </c>
      <c r="J197" s="5" t="n">
        <v>61.56</v>
      </c>
      <c r="K197" s="5">
        <f>ROUND(I197*J197,2)</f>
        <v/>
      </c>
      <c r="L197" s="3" t="n">
        <v>0.03</v>
      </c>
      <c r="M197" s="5">
        <f>ROUND(K197*(1-L197),2)</f>
        <v/>
      </c>
      <c r="N197" s="5" t="n">
        <v>1482.32</v>
      </c>
      <c r="O197" s="5">
        <f>ROUND(M197-N197,2)</f>
        <v/>
      </c>
      <c r="P197" t="inlineStr">
        <is>
          <t>Cobrada</t>
        </is>
      </c>
    </row>
    <row r="198">
      <c r="A198" t="inlineStr">
        <is>
          <t>ING-0197</t>
        </is>
      </c>
      <c r="B198" s="2" t="n">
        <v>45612</v>
      </c>
      <c r="C198" t="inlineStr">
        <is>
          <t>ClinicPoint</t>
        </is>
      </c>
      <c r="D198" t="inlineStr">
        <is>
          <t>Administración pública</t>
        </is>
      </c>
      <c r="E198" t="inlineStr">
        <is>
          <t>Chile</t>
        </is>
      </c>
      <c r="F198" t="inlineStr">
        <is>
          <t>Mantenimiento web</t>
        </is>
      </c>
      <c r="G198" t="inlineStr">
        <is>
          <t>Proyecto puntual</t>
        </is>
      </c>
      <c r="H198" t="inlineStr">
        <is>
          <t>Campaña empleo</t>
        </is>
      </c>
      <c r="I198" t="n">
        <v>3</v>
      </c>
      <c r="J198" s="5" t="n">
        <v>2470.47</v>
      </c>
      <c r="K198" s="5">
        <f>ROUND(I198*J198,2)</f>
        <v/>
      </c>
      <c r="L198" s="3" t="n">
        <v>0.08</v>
      </c>
      <c r="M198" s="5">
        <f>ROUND(K198*(1-L198),2)</f>
        <v/>
      </c>
      <c r="N198" s="5" t="n">
        <v>2199.5</v>
      </c>
      <c r="O198" s="5">
        <f>ROUND(M198-N198,2)</f>
        <v/>
      </c>
      <c r="P198" t="inlineStr">
        <is>
          <t>Cobrada</t>
        </is>
      </c>
    </row>
    <row r="199">
      <c r="A199" t="inlineStr">
        <is>
          <t>ING-0198</t>
        </is>
      </c>
      <c r="B199" s="2" t="n">
        <v>45294</v>
      </c>
      <c r="C199" t="inlineStr">
        <is>
          <t>TalentHub</t>
        </is>
      </c>
      <c r="D199" t="inlineStr">
        <is>
          <t>Industria</t>
        </is>
      </c>
      <c r="E199" t="inlineStr">
        <is>
          <t>Portugal</t>
        </is>
      </c>
      <c r="F199" t="inlineStr">
        <is>
          <t>Generación de noticias</t>
        </is>
      </c>
      <c r="G199" t="inlineStr">
        <is>
          <t>Retainer trimestral</t>
        </is>
      </c>
      <c r="H199" t="inlineStr">
        <is>
          <t>Centro de prensa</t>
        </is>
      </c>
      <c r="I199" t="n">
        <v>19</v>
      </c>
      <c r="J199" s="5" t="n">
        <v>73.89</v>
      </c>
      <c r="K199" s="5">
        <f>ROUND(I199*J199,2)</f>
        <v/>
      </c>
      <c r="L199" s="3" t="n">
        <v>0</v>
      </c>
      <c r="M199" s="5">
        <f>ROUND(K199*(1-L199),2)</f>
        <v/>
      </c>
      <c r="N199" s="5" t="n">
        <v>892.14</v>
      </c>
      <c r="O199" s="5">
        <f>ROUND(M199-N199,2)</f>
        <v/>
      </c>
      <c r="P199" t="inlineStr">
        <is>
          <t>Cobrada</t>
        </is>
      </c>
    </row>
    <row r="200">
      <c r="A200" t="inlineStr">
        <is>
          <t>ING-0199</t>
        </is>
      </c>
      <c r="B200" s="2" t="n">
        <v>45622</v>
      </c>
      <c r="C200" t="inlineStr">
        <is>
          <t>Industrias Vega</t>
        </is>
      </c>
      <c r="D200" t="inlineStr">
        <is>
          <t>Logística</t>
        </is>
      </c>
      <c r="E200" t="inlineStr">
        <is>
          <t>España</t>
        </is>
      </c>
      <c r="F200" t="inlineStr">
        <is>
          <t>Anuncios TV</t>
        </is>
      </c>
      <c r="G200" t="inlineStr">
        <is>
          <t>Suscripción mensual</t>
        </is>
      </c>
      <c r="H200" t="inlineStr">
        <is>
          <t>Intranet comercial</t>
        </is>
      </c>
      <c r="I200" t="n">
        <v>6</v>
      </c>
      <c r="J200" s="5" t="n">
        <v>1107.52</v>
      </c>
      <c r="K200" s="5">
        <f>ROUND(I200*J200,2)</f>
        <v/>
      </c>
      <c r="L200" s="3" t="n">
        <v>0.1</v>
      </c>
      <c r="M200" s="5">
        <f>ROUND(K200*(1-L200),2)</f>
        <v/>
      </c>
      <c r="N200" s="5" t="n">
        <v>2266.95</v>
      </c>
      <c r="O200" s="5">
        <f>ROUND(M200-N200,2)</f>
        <v/>
      </c>
      <c r="P200" t="inlineStr">
        <is>
          <t>Cobrada</t>
        </is>
      </c>
    </row>
    <row r="201">
      <c r="A201" t="inlineStr">
        <is>
          <t>ING-0200</t>
        </is>
      </c>
      <c r="B201" s="2" t="n">
        <v>45581</v>
      </c>
      <c r="C201" t="inlineStr">
        <is>
          <t>Retail Vision</t>
        </is>
      </c>
      <c r="D201" t="inlineStr">
        <is>
          <t>RRHH</t>
        </is>
      </c>
      <c r="E201" t="inlineStr">
        <is>
          <t>España</t>
        </is>
      </c>
      <c r="F201" t="inlineStr">
        <is>
          <t>Anuncios internet</t>
        </is>
      </c>
      <c r="G201" t="inlineStr">
        <is>
          <t>Retainer trimestral</t>
        </is>
      </c>
      <c r="H201" t="inlineStr">
        <is>
          <t>Centro de prensa</t>
        </is>
      </c>
      <c r="I201" t="n">
        <v>21</v>
      </c>
      <c r="J201" s="5" t="n">
        <v>2082.3</v>
      </c>
      <c r="K201" s="5">
        <f>ROUND(I201*J201,2)</f>
        <v/>
      </c>
      <c r="L201" s="3" t="n">
        <v>0.08</v>
      </c>
      <c r="M201" s="5">
        <f>ROUND(K201*(1-L201),2)</f>
        <v/>
      </c>
      <c r="N201" s="5" t="n">
        <v>20472.83</v>
      </c>
      <c r="O201" s="5">
        <f>ROUND(M201-N201,2)</f>
        <v/>
      </c>
      <c r="P201" t="inlineStr">
        <is>
          <t>Emitida</t>
        </is>
      </c>
    </row>
    <row r="202">
      <c r="A202" t="inlineStr">
        <is>
          <t>ING-0201</t>
        </is>
      </c>
      <c r="B202" s="2" t="n">
        <v>45679</v>
      </c>
      <c r="C202" t="inlineStr">
        <is>
          <t>Smart Factory</t>
        </is>
      </c>
      <c r="D202" t="inlineStr">
        <is>
          <t>RRHH</t>
        </is>
      </c>
      <c r="E202" t="inlineStr">
        <is>
          <t>Chile</t>
        </is>
      </c>
      <c r="F202" t="inlineStr">
        <is>
          <t>Mantenimiento web</t>
        </is>
      </c>
      <c r="G202" t="inlineStr">
        <is>
          <t>Soporte anual</t>
        </is>
      </c>
      <c r="H202" t="inlineStr">
        <is>
          <t>Microsite RRHH</t>
        </is>
      </c>
      <c r="I202" t="n">
        <v>5</v>
      </c>
      <c r="J202" s="5" t="n">
        <v>2998.44</v>
      </c>
      <c r="K202" s="5">
        <f>ROUND(I202*J202,2)</f>
        <v/>
      </c>
      <c r="L202" s="3" t="n">
        <v>0.08</v>
      </c>
      <c r="M202" s="5">
        <f>ROUND(K202*(1-L202),2)</f>
        <v/>
      </c>
      <c r="N202" s="5" t="n">
        <v>4815.62</v>
      </c>
      <c r="O202" s="5">
        <f>ROUND(M202-N202,2)</f>
        <v/>
      </c>
      <c r="P202" t="inlineStr">
        <is>
          <t>Pendiente</t>
        </is>
      </c>
    </row>
    <row r="203">
      <c r="A203" t="inlineStr">
        <is>
          <t>ING-0202</t>
        </is>
      </c>
      <c r="B203" s="2" t="n">
        <v>45599</v>
      </c>
      <c r="C203" t="inlineStr">
        <is>
          <t>Campus One</t>
        </is>
      </c>
      <c r="D203" t="inlineStr">
        <is>
          <t>Educación</t>
        </is>
      </c>
      <c r="E203" t="inlineStr">
        <is>
          <t>Chile</t>
        </is>
      </c>
      <c r="F203" t="inlineStr">
        <is>
          <t>Anuncios prensa</t>
        </is>
      </c>
      <c r="G203" t="inlineStr">
        <is>
          <t>Retainer trimestral</t>
        </is>
      </c>
      <c r="H203" t="inlineStr">
        <is>
          <t>Sección noticias</t>
        </is>
      </c>
      <c r="I203" t="n">
        <v>28</v>
      </c>
      <c r="J203" s="5" t="n">
        <v>1448.84</v>
      </c>
      <c r="K203" s="5">
        <f>ROUND(I203*J203,2)</f>
        <v/>
      </c>
      <c r="L203" s="3" t="n">
        <v>0.08</v>
      </c>
      <c r="M203" s="5">
        <f>ROUND(K203*(1-L203),2)</f>
        <v/>
      </c>
      <c r="N203" s="5" t="n">
        <v>20689.61</v>
      </c>
      <c r="O203" s="5">
        <f>ROUND(M203-N203,2)</f>
        <v/>
      </c>
      <c r="P203" t="inlineStr">
        <is>
          <t>Cobrada</t>
        </is>
      </c>
    </row>
    <row r="204">
      <c r="A204" t="inlineStr">
        <is>
          <t>ING-0203</t>
        </is>
      </c>
      <c r="B204" s="2" t="n">
        <v>45442</v>
      </c>
      <c r="C204" t="inlineStr">
        <is>
          <t>Grupo Atlas</t>
        </is>
      </c>
      <c r="D204" t="inlineStr">
        <is>
          <t>Legal</t>
        </is>
      </c>
      <c r="E204" t="inlineStr">
        <is>
          <t>México</t>
        </is>
      </c>
      <c r="F204" t="inlineStr">
        <is>
          <t>Anuncios prensa</t>
        </is>
      </c>
      <c r="G204" t="inlineStr">
        <is>
          <t>Soporte anual</t>
        </is>
      </c>
      <c r="H204" t="inlineStr">
        <is>
          <t>Campaña empleo</t>
        </is>
      </c>
      <c r="I204" t="n">
        <v>9</v>
      </c>
      <c r="J204" s="5" t="n">
        <v>495.29</v>
      </c>
      <c r="K204" s="5">
        <f>ROUND(I204*J204,2)</f>
        <v/>
      </c>
      <c r="L204" s="3" t="n">
        <v>0</v>
      </c>
      <c r="M204" s="5">
        <f>ROUND(K204*(1-L204),2)</f>
        <v/>
      </c>
      <c r="N204" s="5" t="n">
        <v>2198.03</v>
      </c>
      <c r="O204" s="5">
        <f>ROUND(M204-N204,2)</f>
        <v/>
      </c>
      <c r="P204" t="inlineStr">
        <is>
          <t>Emitida</t>
        </is>
      </c>
    </row>
    <row r="205">
      <c r="A205" t="inlineStr">
        <is>
          <t>ING-0204</t>
        </is>
      </c>
      <c r="B205" s="2" t="n">
        <v>45442</v>
      </c>
      <c r="C205" t="inlineStr">
        <is>
          <t>FinanData</t>
        </is>
      </c>
      <c r="D205" t="inlineStr">
        <is>
          <t>Administración pública</t>
        </is>
      </c>
      <c r="E205" t="inlineStr">
        <is>
          <t>Colombia</t>
        </is>
      </c>
      <c r="F205" t="inlineStr">
        <is>
          <t>Traducciones</t>
        </is>
      </c>
      <c r="G205" t="inlineStr">
        <is>
          <t>Soporte anual</t>
        </is>
      </c>
      <c r="H205" t="inlineStr">
        <is>
          <t>Portal corporativo</t>
        </is>
      </c>
      <c r="I205" t="n">
        <v>112</v>
      </c>
      <c r="J205" s="5" t="n">
        <v>149.25</v>
      </c>
      <c r="K205" s="5">
        <f>ROUND(I205*J205,2)</f>
        <v/>
      </c>
      <c r="L205" s="3" t="n">
        <v>0.05</v>
      </c>
      <c r="M205" s="5">
        <f>ROUND(K205*(1-L205),2)</f>
        <v/>
      </c>
      <c r="N205" s="5" t="n">
        <v>10068.29</v>
      </c>
      <c r="O205" s="5">
        <f>ROUND(M205-N205,2)</f>
        <v/>
      </c>
      <c r="P205" t="inlineStr">
        <is>
          <t>Pendiente</t>
        </is>
      </c>
    </row>
    <row r="206">
      <c r="A206" t="inlineStr">
        <is>
          <t>ING-0205</t>
        </is>
      </c>
      <c r="B206" s="2" t="n">
        <v>45526</v>
      </c>
      <c r="C206" t="inlineStr">
        <is>
          <t>Legal360</t>
        </is>
      </c>
      <c r="D206" t="inlineStr">
        <is>
          <t>Salud</t>
        </is>
      </c>
      <c r="E206" t="inlineStr">
        <is>
          <t>Colombia</t>
        </is>
      </c>
      <c r="F206" t="inlineStr">
        <is>
          <t>Mantenimiento web</t>
        </is>
      </c>
      <c r="G206" t="inlineStr">
        <is>
          <t>Proyecto puntual</t>
        </is>
      </c>
      <c r="H206" t="inlineStr">
        <is>
          <t>Campaña empleo</t>
        </is>
      </c>
      <c r="I206" t="n">
        <v>8</v>
      </c>
      <c r="J206" s="5" t="n">
        <v>1458</v>
      </c>
      <c r="K206" s="5">
        <f>ROUND(I206*J206,2)</f>
        <v/>
      </c>
      <c r="L206" s="3" t="n">
        <v>0.03</v>
      </c>
      <c r="M206" s="5">
        <f>ROUND(K206*(1-L206),2)</f>
        <v/>
      </c>
      <c r="N206" s="5" t="n">
        <v>6127.15</v>
      </c>
      <c r="O206" s="5">
        <f>ROUND(M206-N206,2)</f>
        <v/>
      </c>
      <c r="P206" t="inlineStr">
        <is>
          <t>Pendiente</t>
        </is>
      </c>
    </row>
    <row r="207">
      <c r="A207" t="inlineStr">
        <is>
          <t>ING-0206</t>
        </is>
      </c>
      <c r="B207" s="2" t="n">
        <v>45477</v>
      </c>
      <c r="C207" t="inlineStr">
        <is>
          <t>BioMedic</t>
        </is>
      </c>
      <c r="D207" t="inlineStr">
        <is>
          <t>Legal</t>
        </is>
      </c>
      <c r="E207" t="inlineStr">
        <is>
          <t>Portugal</t>
        </is>
      </c>
      <c r="F207" t="inlineStr">
        <is>
          <t>Mantenimiento intranets</t>
        </is>
      </c>
      <c r="G207" t="inlineStr">
        <is>
          <t>Soporte anual</t>
        </is>
      </c>
      <c r="H207" t="inlineStr">
        <is>
          <t>Portal corporativo</t>
        </is>
      </c>
      <c r="I207" t="n">
        <v>4</v>
      </c>
      <c r="J207" s="5" t="n">
        <v>2072.8</v>
      </c>
      <c r="K207" s="5">
        <f>ROUND(I207*J207,2)</f>
        <v/>
      </c>
      <c r="L207" s="3" t="n">
        <v>0.03</v>
      </c>
      <c r="M207" s="5">
        <f>ROUND(K207*(1-L207),2)</f>
        <v/>
      </c>
      <c r="N207" s="5" t="n">
        <v>4434.91</v>
      </c>
      <c r="O207" s="5">
        <f>ROUND(M207-N207,2)</f>
        <v/>
      </c>
      <c r="P207" t="inlineStr">
        <is>
          <t>Emitida</t>
        </is>
      </c>
    </row>
    <row r="208">
      <c r="A208" t="inlineStr">
        <is>
          <t>ING-0207</t>
        </is>
      </c>
      <c r="B208" s="2" t="n">
        <v>45647</v>
      </c>
      <c r="C208" t="inlineStr">
        <is>
          <t>Retail Vision</t>
        </is>
      </c>
      <c r="D208" t="inlineStr">
        <is>
          <t>Logística</t>
        </is>
      </c>
      <c r="E208" t="inlineStr">
        <is>
          <t>Colombia</t>
        </is>
      </c>
      <c r="F208" t="inlineStr">
        <is>
          <t>Anuncios RRHH</t>
        </is>
      </c>
      <c r="G208" t="inlineStr">
        <is>
          <t>Retainer trimestral</t>
        </is>
      </c>
      <c r="H208" t="inlineStr">
        <is>
          <t>Portal corporativo</t>
        </is>
      </c>
      <c r="I208" t="n">
        <v>30</v>
      </c>
      <c r="J208" s="5" t="n">
        <v>1709.42</v>
      </c>
      <c r="K208" s="5">
        <f>ROUND(I208*J208,2)</f>
        <v/>
      </c>
      <c r="L208" s="3" t="n">
        <v>0.08</v>
      </c>
      <c r="M208" s="5">
        <f>ROUND(K208*(1-L208),2)</f>
        <v/>
      </c>
      <c r="N208" s="5" t="n">
        <v>34466.37</v>
      </c>
      <c r="O208" s="5">
        <f>ROUND(M208-N208,2)</f>
        <v/>
      </c>
      <c r="P208" t="inlineStr">
        <is>
          <t>Emitida</t>
        </is>
      </c>
    </row>
    <row r="209">
      <c r="A209" t="inlineStr">
        <is>
          <t>ING-0208</t>
        </is>
      </c>
      <c r="B209" s="2" t="n">
        <v>45514</v>
      </c>
      <c r="C209" t="inlineStr">
        <is>
          <t>Ayuntamiento Norte</t>
        </is>
      </c>
      <c r="D209" t="inlineStr">
        <is>
          <t>Educación</t>
        </is>
      </c>
      <c r="E209" t="inlineStr">
        <is>
          <t>Chile</t>
        </is>
      </c>
      <c r="F209" t="inlineStr">
        <is>
          <t>Anuncios prensa</t>
        </is>
      </c>
      <c r="G209" t="inlineStr">
        <is>
          <t>Campaña</t>
        </is>
      </c>
      <c r="H209" t="inlineStr">
        <is>
          <t>Microsite RRHH</t>
        </is>
      </c>
      <c r="I209" t="n">
        <v>26</v>
      </c>
      <c r="J209" s="5" t="n">
        <v>993</v>
      </c>
      <c r="K209" s="5">
        <f>ROUND(I209*J209,2)</f>
        <v/>
      </c>
      <c r="L209" s="3" t="n">
        <v>0.03</v>
      </c>
      <c r="M209" s="5">
        <f>ROUND(K209*(1-L209),2)</f>
        <v/>
      </c>
      <c r="N209" s="5" t="n">
        <v>13965.39</v>
      </c>
      <c r="O209" s="5">
        <f>ROUND(M209-N209,2)</f>
        <v/>
      </c>
      <c r="P209" t="inlineStr">
        <is>
          <t>Cobrada</t>
        </is>
      </c>
    </row>
    <row r="210">
      <c r="A210" t="inlineStr">
        <is>
          <t>ING-0209</t>
        </is>
      </c>
      <c r="B210" s="2" t="n">
        <v>45342</v>
      </c>
      <c r="C210" t="inlineStr">
        <is>
          <t>FinanData</t>
        </is>
      </c>
      <c r="D210" t="inlineStr">
        <is>
          <t>Finanzas</t>
        </is>
      </c>
      <c r="E210" t="inlineStr">
        <is>
          <t>Chile</t>
        </is>
      </c>
      <c r="F210" t="inlineStr">
        <is>
          <t>Traducciones</t>
        </is>
      </c>
      <c r="G210" t="inlineStr">
        <is>
          <t>Retainer trimestral</t>
        </is>
      </c>
      <c r="H210" t="inlineStr">
        <is>
          <t>Portal internacional</t>
        </is>
      </c>
      <c r="I210" t="n">
        <v>6</v>
      </c>
      <c r="J210" s="5" t="n">
        <v>118.65</v>
      </c>
      <c r="K210" s="5">
        <f>ROUND(I210*J210,2)</f>
        <v/>
      </c>
      <c r="L210" s="3" t="n">
        <v>0</v>
      </c>
      <c r="M210" s="5">
        <f>ROUND(K210*(1-L210),2)</f>
        <v/>
      </c>
      <c r="N210" s="5" t="n">
        <v>425.55</v>
      </c>
      <c r="O210" s="5">
        <f>ROUND(M210-N210,2)</f>
        <v/>
      </c>
      <c r="P210" t="inlineStr">
        <is>
          <t>Cobrada</t>
        </is>
      </c>
    </row>
    <row r="211">
      <c r="A211" t="inlineStr">
        <is>
          <t>ING-0210</t>
        </is>
      </c>
      <c r="B211" s="2" t="n">
        <v>45699</v>
      </c>
      <c r="C211" t="inlineStr">
        <is>
          <t>Fundación Horizonte</t>
        </is>
      </c>
      <c r="D211" t="inlineStr">
        <is>
          <t>Legal</t>
        </is>
      </c>
      <c r="E211" t="inlineStr">
        <is>
          <t>México</t>
        </is>
      </c>
      <c r="F211" t="inlineStr">
        <is>
          <t>Mantenimiento intranets</t>
        </is>
      </c>
      <c r="G211" t="inlineStr">
        <is>
          <t>Suscripción mensual</t>
        </is>
      </c>
      <c r="H211" t="inlineStr">
        <is>
          <t>Portal corporativo</t>
        </is>
      </c>
      <c r="I211" t="n">
        <v>7</v>
      </c>
      <c r="J211" s="5" t="n">
        <v>2849.29</v>
      </c>
      <c r="K211" s="5">
        <f>ROUND(I211*J211,2)</f>
        <v/>
      </c>
      <c r="L211" s="3" t="n">
        <v>0</v>
      </c>
      <c r="M211" s="5">
        <f>ROUND(K211*(1-L211),2)</f>
        <v/>
      </c>
      <c r="N211" s="5" t="n">
        <v>7049.73</v>
      </c>
      <c r="O211" s="5">
        <f>ROUND(M211-N211,2)</f>
        <v/>
      </c>
      <c r="P211" t="inlineStr">
        <is>
          <t>Cobrada</t>
        </is>
      </c>
    </row>
    <row r="212">
      <c r="A212" t="inlineStr">
        <is>
          <t>ING-0211</t>
        </is>
      </c>
      <c r="B212" s="2" t="n">
        <v>45599</v>
      </c>
      <c r="C212" t="inlineStr">
        <is>
          <t>EcoLogística</t>
        </is>
      </c>
      <c r="D212" t="inlineStr">
        <is>
          <t>Administración pública</t>
        </is>
      </c>
      <c r="E212" t="inlineStr">
        <is>
          <t>España</t>
        </is>
      </c>
      <c r="F212" t="inlineStr">
        <is>
          <t>Mantenimiento intranets</t>
        </is>
      </c>
      <c r="G212" t="inlineStr">
        <is>
          <t>Suscripción mensual</t>
        </is>
      </c>
      <c r="H212" t="inlineStr">
        <is>
          <t>Intranet comercial</t>
        </is>
      </c>
      <c r="I212" t="n">
        <v>1</v>
      </c>
      <c r="J212" s="5" t="n">
        <v>3303.78</v>
      </c>
      <c r="K212" s="5">
        <f>ROUND(I212*J212,2)</f>
        <v/>
      </c>
      <c r="L212" s="3" t="n">
        <v>0.05</v>
      </c>
      <c r="M212" s="5">
        <f>ROUND(K212*(1-L212),2)</f>
        <v/>
      </c>
      <c r="N212" s="5" t="n">
        <v>1556</v>
      </c>
      <c r="O212" s="5">
        <f>ROUND(M212-N212,2)</f>
        <v/>
      </c>
      <c r="P212" t="inlineStr">
        <is>
          <t>Pendiente</t>
        </is>
      </c>
    </row>
    <row r="213">
      <c r="A213" t="inlineStr">
        <is>
          <t>ING-0212</t>
        </is>
      </c>
      <c r="B213" s="2" t="n">
        <v>45463</v>
      </c>
      <c r="C213" t="inlineStr">
        <is>
          <t>Grupo Atlas</t>
        </is>
      </c>
      <c r="D213" t="inlineStr">
        <is>
          <t>Salud</t>
        </is>
      </c>
      <c r="E213" t="inlineStr">
        <is>
          <t>España</t>
        </is>
      </c>
      <c r="F213" t="inlineStr">
        <is>
          <t>Mantenimiento intranets</t>
        </is>
      </c>
      <c r="G213" t="inlineStr">
        <is>
          <t>Campaña</t>
        </is>
      </c>
      <c r="H213" t="inlineStr">
        <is>
          <t>Portal corporativo</t>
        </is>
      </c>
      <c r="I213" t="n">
        <v>2</v>
      </c>
      <c r="J213" s="5" t="n">
        <v>3305.93</v>
      </c>
      <c r="K213" s="5">
        <f>ROUND(I213*J213,2)</f>
        <v/>
      </c>
      <c r="L213" s="3" t="n">
        <v>0.08</v>
      </c>
      <c r="M213" s="5">
        <f>ROUND(K213*(1-L213),2)</f>
        <v/>
      </c>
      <c r="N213" s="5" t="n">
        <v>3968.15</v>
      </c>
      <c r="O213" s="5">
        <f>ROUND(M213-N213,2)</f>
        <v/>
      </c>
      <c r="P213" t="inlineStr">
        <is>
          <t>Pendiente</t>
        </is>
      </c>
    </row>
    <row r="214">
      <c r="A214" t="inlineStr">
        <is>
          <t>ING-0213</t>
        </is>
      </c>
      <c r="B214" s="2" t="n">
        <v>45669</v>
      </c>
      <c r="C214" t="inlineStr">
        <is>
          <t>SegurPlus</t>
        </is>
      </c>
      <c r="D214" t="inlineStr">
        <is>
          <t>Salud</t>
        </is>
      </c>
      <c r="E214" t="inlineStr">
        <is>
          <t>Colombia</t>
        </is>
      </c>
      <c r="F214" t="inlineStr">
        <is>
          <t>Generación de noticias</t>
        </is>
      </c>
      <c r="G214" t="inlineStr">
        <is>
          <t>Campaña</t>
        </is>
      </c>
      <c r="H214" t="inlineStr">
        <is>
          <t>Sección noticias</t>
        </is>
      </c>
      <c r="I214" t="n">
        <v>42</v>
      </c>
      <c r="J214" s="5" t="n">
        <v>128.18</v>
      </c>
      <c r="K214" s="5">
        <f>ROUND(I214*J214,2)</f>
        <v/>
      </c>
      <c r="L214" s="3" t="n">
        <v>0.1</v>
      </c>
      <c r="M214" s="5">
        <f>ROUND(K214*(1-L214),2)</f>
        <v/>
      </c>
      <c r="N214" s="5" t="n">
        <v>1515.26</v>
      </c>
      <c r="O214" s="5">
        <f>ROUND(M214-N214,2)</f>
        <v/>
      </c>
      <c r="P214" t="inlineStr">
        <is>
          <t>Pendiente</t>
        </is>
      </c>
    </row>
    <row r="215">
      <c r="A215" t="inlineStr">
        <is>
          <t>ING-0214</t>
        </is>
      </c>
      <c r="B215" s="2" t="n">
        <v>45317</v>
      </c>
      <c r="C215" t="inlineStr">
        <is>
          <t>Industrias Vega</t>
        </is>
      </c>
      <c r="D215" t="inlineStr">
        <is>
          <t>Finanzas</t>
        </is>
      </c>
      <c r="E215" t="inlineStr">
        <is>
          <t>México</t>
        </is>
      </c>
      <c r="F215" t="inlineStr">
        <is>
          <t>Mantenimiento intranets</t>
        </is>
      </c>
      <c r="G215" t="inlineStr">
        <is>
          <t>Retainer trimestral</t>
        </is>
      </c>
      <c r="H215" t="inlineStr">
        <is>
          <t>Portal corporativo</t>
        </is>
      </c>
      <c r="I215" t="n">
        <v>8</v>
      </c>
      <c r="J215" s="5" t="n">
        <v>3211.46</v>
      </c>
      <c r="K215" s="5">
        <f>ROUND(I215*J215,2)</f>
        <v/>
      </c>
      <c r="L215" s="3" t="n">
        <v>0.05</v>
      </c>
      <c r="M215" s="5">
        <f>ROUND(K215*(1-L215),2)</f>
        <v/>
      </c>
      <c r="N215" s="5" t="n">
        <v>13349.42</v>
      </c>
      <c r="O215" s="5">
        <f>ROUND(M215-N215,2)</f>
        <v/>
      </c>
      <c r="P215" t="inlineStr">
        <is>
          <t>Cobrada</t>
        </is>
      </c>
    </row>
    <row r="216">
      <c r="A216" t="inlineStr">
        <is>
          <t>ING-0215</t>
        </is>
      </c>
      <c r="B216" s="2" t="n">
        <v>45521</v>
      </c>
      <c r="C216" t="inlineStr">
        <is>
          <t>FinanData</t>
        </is>
      </c>
      <c r="D216" t="inlineStr">
        <is>
          <t>RRHH</t>
        </is>
      </c>
      <c r="E216" t="inlineStr">
        <is>
          <t>Colombia</t>
        </is>
      </c>
      <c r="F216" t="inlineStr">
        <is>
          <t>Anuncios internet</t>
        </is>
      </c>
      <c r="G216" t="inlineStr">
        <is>
          <t>Campaña</t>
        </is>
      </c>
      <c r="H216" t="inlineStr">
        <is>
          <t>Sección noticias</t>
        </is>
      </c>
      <c r="I216" t="n">
        <v>11</v>
      </c>
      <c r="J216" s="5" t="n">
        <v>1068.23</v>
      </c>
      <c r="K216" s="5">
        <f>ROUND(I216*J216,2)</f>
        <v/>
      </c>
      <c r="L216" s="3" t="n">
        <v>0.08</v>
      </c>
      <c r="M216" s="5">
        <f>ROUND(K216*(1-L216),2)</f>
        <v/>
      </c>
      <c r="N216" s="5" t="n">
        <v>3231.62</v>
      </c>
      <c r="O216" s="5">
        <f>ROUND(M216-N216,2)</f>
        <v/>
      </c>
      <c r="P216" t="inlineStr">
        <is>
          <t>Emitida</t>
        </is>
      </c>
    </row>
    <row r="217">
      <c r="A217" t="inlineStr">
        <is>
          <t>ING-0216</t>
        </is>
      </c>
      <c r="B217" s="2" t="n">
        <v>45543</v>
      </c>
      <c r="C217" t="inlineStr">
        <is>
          <t>ClinicPoint</t>
        </is>
      </c>
      <c r="D217" t="inlineStr">
        <is>
          <t>Administración pública</t>
        </is>
      </c>
      <c r="E217" t="inlineStr">
        <is>
          <t>España</t>
        </is>
      </c>
      <c r="F217" t="inlineStr">
        <is>
          <t>Anuncios RRHH</t>
        </is>
      </c>
      <c r="G217" t="inlineStr">
        <is>
          <t>Proyecto puntual</t>
        </is>
      </c>
      <c r="H217" t="inlineStr">
        <is>
          <t>Intranet comercial</t>
        </is>
      </c>
      <c r="I217" t="n">
        <v>19</v>
      </c>
      <c r="J217" s="5" t="n">
        <v>2026.87</v>
      </c>
      <c r="K217" s="5">
        <f>ROUND(I217*J217,2)</f>
        <v/>
      </c>
      <c r="L217" s="3" t="n">
        <v>0.03</v>
      </c>
      <c r="M217" s="5">
        <f>ROUND(K217*(1-L217),2)</f>
        <v/>
      </c>
      <c r="N217" s="5" t="n">
        <v>21978.74</v>
      </c>
      <c r="O217" s="5">
        <f>ROUND(M217-N217,2)</f>
        <v/>
      </c>
      <c r="P217" t="inlineStr">
        <is>
          <t>Emitida</t>
        </is>
      </c>
    </row>
    <row r="218">
      <c r="A218" t="inlineStr">
        <is>
          <t>ING-0217</t>
        </is>
      </c>
      <c r="B218" s="2" t="n">
        <v>45391</v>
      </c>
      <c r="C218" t="inlineStr">
        <is>
          <t>TechSphere</t>
        </is>
      </c>
      <c r="D218" t="inlineStr">
        <is>
          <t>Finanzas</t>
        </is>
      </c>
      <c r="E218" t="inlineStr">
        <is>
          <t>Colombia</t>
        </is>
      </c>
      <c r="F218" t="inlineStr">
        <is>
          <t>Anuncios prensa</t>
        </is>
      </c>
      <c r="G218" t="inlineStr">
        <is>
          <t>Proyecto puntual</t>
        </is>
      </c>
      <c r="H218" t="inlineStr">
        <is>
          <t>Intranet comercial</t>
        </is>
      </c>
      <c r="I218" t="n">
        <v>23</v>
      </c>
      <c r="J218" s="5" t="n">
        <v>1403.81</v>
      </c>
      <c r="K218" s="5">
        <f>ROUND(I218*J218,2)</f>
        <v/>
      </c>
      <c r="L218" s="3" t="n">
        <v>0</v>
      </c>
      <c r="M218" s="5">
        <f>ROUND(K218*(1-L218),2)</f>
        <v/>
      </c>
      <c r="N218" s="5" t="n">
        <v>9004.309999999999</v>
      </c>
      <c r="O218" s="5">
        <f>ROUND(M218-N218,2)</f>
        <v/>
      </c>
      <c r="P218" t="inlineStr">
        <is>
          <t>Cobrada</t>
        </is>
      </c>
    </row>
    <row r="219">
      <c r="A219" t="inlineStr">
        <is>
          <t>ING-0218</t>
        </is>
      </c>
      <c r="B219" s="2" t="n">
        <v>45347</v>
      </c>
      <c r="C219" t="inlineStr">
        <is>
          <t>Campus One</t>
        </is>
      </c>
      <c r="D219" t="inlineStr">
        <is>
          <t>Legal</t>
        </is>
      </c>
      <c r="E219" t="inlineStr">
        <is>
          <t>España</t>
        </is>
      </c>
      <c r="F219" t="inlineStr">
        <is>
          <t>Anuncios RRHH</t>
        </is>
      </c>
      <c r="G219" t="inlineStr">
        <is>
          <t>Campaña</t>
        </is>
      </c>
      <c r="H219" t="inlineStr">
        <is>
          <t>Portal corporativo</t>
        </is>
      </c>
      <c r="I219" t="n">
        <v>8</v>
      </c>
      <c r="J219" s="5" t="n">
        <v>960.14</v>
      </c>
      <c r="K219" s="5">
        <f>ROUND(I219*J219,2)</f>
        <v/>
      </c>
      <c r="L219" s="3" t="n">
        <v>0</v>
      </c>
      <c r="M219" s="5">
        <f>ROUND(K219*(1-L219),2)</f>
        <v/>
      </c>
      <c r="N219" s="5" t="n">
        <v>5094.4</v>
      </c>
      <c r="O219" s="5">
        <f>ROUND(M219-N219,2)</f>
        <v/>
      </c>
      <c r="P219" t="inlineStr">
        <is>
          <t>Emitida</t>
        </is>
      </c>
    </row>
    <row r="220">
      <c r="A220" t="inlineStr">
        <is>
          <t>ING-0219</t>
        </is>
      </c>
      <c r="B220" s="2" t="n">
        <v>45404</v>
      </c>
      <c r="C220" t="inlineStr">
        <is>
          <t>Legal360</t>
        </is>
      </c>
      <c r="D220" t="inlineStr">
        <is>
          <t>Finanzas</t>
        </is>
      </c>
      <c r="E220" t="inlineStr">
        <is>
          <t>Chile</t>
        </is>
      </c>
      <c r="F220" t="inlineStr">
        <is>
          <t>Traducciones</t>
        </is>
      </c>
      <c r="G220" t="inlineStr">
        <is>
          <t>Retainer trimestral</t>
        </is>
      </c>
      <c r="H220" t="inlineStr">
        <is>
          <t>Sección noticias</t>
        </is>
      </c>
      <c r="I220" t="n">
        <v>82</v>
      </c>
      <c r="J220" s="5" t="n">
        <v>62.87</v>
      </c>
      <c r="K220" s="5">
        <f>ROUND(I220*J220,2)</f>
        <v/>
      </c>
      <c r="L220" s="3" t="n">
        <v>0.05</v>
      </c>
      <c r="M220" s="5">
        <f>ROUND(K220*(1-L220),2)</f>
        <v/>
      </c>
      <c r="N220" s="5" t="n">
        <v>2130.96</v>
      </c>
      <c r="O220" s="5">
        <f>ROUND(M220-N220,2)</f>
        <v/>
      </c>
      <c r="P220" t="inlineStr">
        <is>
          <t>Cobrada</t>
        </is>
      </c>
    </row>
    <row r="221">
      <c r="A221" t="inlineStr">
        <is>
          <t>ING-0220</t>
        </is>
      </c>
      <c r="B221" s="2" t="n">
        <v>45521</v>
      </c>
      <c r="C221" t="inlineStr">
        <is>
          <t>EducaPro</t>
        </is>
      </c>
      <c r="D221" t="inlineStr">
        <is>
          <t>Medios</t>
        </is>
      </c>
      <c r="E221" t="inlineStr">
        <is>
          <t>Chile</t>
        </is>
      </c>
      <c r="F221" t="inlineStr">
        <is>
          <t>Anuncios TV</t>
        </is>
      </c>
      <c r="G221" t="inlineStr">
        <is>
          <t>Retainer trimestral</t>
        </is>
      </c>
      <c r="H221" t="inlineStr">
        <is>
          <t>Centro de prensa</t>
        </is>
      </c>
      <c r="I221" t="n">
        <v>13</v>
      </c>
      <c r="J221" s="5" t="n">
        <v>1033.56</v>
      </c>
      <c r="K221" s="5">
        <f>ROUND(I221*J221,2)</f>
        <v/>
      </c>
      <c r="L221" s="3" t="n">
        <v>0.03</v>
      </c>
      <c r="M221" s="5">
        <f>ROUND(K221*(1-L221),2)</f>
        <v/>
      </c>
      <c r="N221" s="5" t="n">
        <v>4459.03</v>
      </c>
      <c r="O221" s="5">
        <f>ROUND(M221-N221,2)</f>
        <v/>
      </c>
      <c r="P221" t="inlineStr">
        <is>
          <t>Pendiente</t>
        </is>
      </c>
    </row>
    <row r="222">
      <c r="A222" t="inlineStr">
        <is>
          <t>ING-0221</t>
        </is>
      </c>
      <c r="B222" s="2" t="n">
        <v>45442</v>
      </c>
      <c r="C222" t="inlineStr">
        <is>
          <t>TalentHub</t>
        </is>
      </c>
      <c r="D222" t="inlineStr">
        <is>
          <t>Salud</t>
        </is>
      </c>
      <c r="E222" t="inlineStr">
        <is>
          <t>España</t>
        </is>
      </c>
      <c r="F222" t="inlineStr">
        <is>
          <t>Mantenimiento web</t>
        </is>
      </c>
      <c r="G222" t="inlineStr">
        <is>
          <t>Campaña</t>
        </is>
      </c>
      <c r="H222" t="inlineStr">
        <is>
          <t>Centro de prensa</t>
        </is>
      </c>
      <c r="I222" t="n">
        <v>6</v>
      </c>
      <c r="J222" s="5" t="n">
        <v>1072.03</v>
      </c>
      <c r="K222" s="5">
        <f>ROUND(I222*J222,2)</f>
        <v/>
      </c>
      <c r="L222" s="3" t="n">
        <v>0.03</v>
      </c>
      <c r="M222" s="5">
        <f>ROUND(K222*(1-L222),2)</f>
        <v/>
      </c>
      <c r="N222" s="5" t="n">
        <v>3998.06</v>
      </c>
      <c r="O222" s="5">
        <f>ROUND(M222-N222,2)</f>
        <v/>
      </c>
      <c r="P222" t="inlineStr">
        <is>
          <t>Emitida</t>
        </is>
      </c>
    </row>
    <row r="223">
      <c r="A223" t="inlineStr">
        <is>
          <t>ING-0222</t>
        </is>
      </c>
      <c r="B223" s="2" t="n">
        <v>45495</v>
      </c>
      <c r="C223" t="inlineStr">
        <is>
          <t>ClinicPoint</t>
        </is>
      </c>
      <c r="D223" t="inlineStr">
        <is>
          <t>Legal</t>
        </is>
      </c>
      <c r="E223" t="inlineStr">
        <is>
          <t>España</t>
        </is>
      </c>
      <c r="F223" t="inlineStr">
        <is>
          <t>Mantenimiento intranets</t>
        </is>
      </c>
      <c r="G223" t="inlineStr">
        <is>
          <t>Proyecto puntual</t>
        </is>
      </c>
      <c r="H223" t="inlineStr">
        <is>
          <t>Intranet operaciones</t>
        </is>
      </c>
      <c r="I223" t="n">
        <v>4</v>
      </c>
      <c r="J223" s="5" t="n">
        <v>3355.38</v>
      </c>
      <c r="K223" s="5">
        <f>ROUND(I223*J223,2)</f>
        <v/>
      </c>
      <c r="L223" s="3" t="n">
        <v>0.1</v>
      </c>
      <c r="M223" s="5">
        <f>ROUND(K223*(1-L223),2)</f>
        <v/>
      </c>
      <c r="N223" s="5" t="n">
        <v>8157.05</v>
      </c>
      <c r="O223" s="5">
        <f>ROUND(M223-N223,2)</f>
        <v/>
      </c>
      <c r="P223" t="inlineStr">
        <is>
          <t>Cobrada</t>
        </is>
      </c>
    </row>
    <row r="224">
      <c r="A224" t="inlineStr">
        <is>
          <t>ING-0223</t>
        </is>
      </c>
      <c r="B224" s="2" t="n">
        <v>45619</v>
      </c>
      <c r="C224" t="inlineStr">
        <is>
          <t>EducaPro</t>
        </is>
      </c>
      <c r="D224" t="inlineStr">
        <is>
          <t>Industria</t>
        </is>
      </c>
      <c r="E224" t="inlineStr">
        <is>
          <t>Chile</t>
        </is>
      </c>
      <c r="F224" t="inlineStr">
        <is>
          <t>Anuncios TV</t>
        </is>
      </c>
      <c r="G224" t="inlineStr">
        <is>
          <t>Soporte anual</t>
        </is>
      </c>
      <c r="H224" t="inlineStr">
        <is>
          <t>Sección noticias</t>
        </is>
      </c>
      <c r="I224" t="n">
        <v>7</v>
      </c>
      <c r="J224" s="5" t="n">
        <v>326.67</v>
      </c>
      <c r="K224" s="5">
        <f>ROUND(I224*J224,2)</f>
        <v/>
      </c>
      <c r="L224" s="3" t="n">
        <v>0</v>
      </c>
      <c r="M224" s="5">
        <f>ROUND(K224*(1-L224),2)</f>
        <v/>
      </c>
      <c r="N224" s="5" t="n">
        <v>1391.68</v>
      </c>
      <c r="O224" s="5">
        <f>ROUND(M224-N224,2)</f>
        <v/>
      </c>
      <c r="P224" t="inlineStr">
        <is>
          <t>Pendiente</t>
        </is>
      </c>
    </row>
    <row r="225">
      <c r="A225" t="inlineStr">
        <is>
          <t>ING-0224</t>
        </is>
      </c>
      <c r="B225" s="2" t="n">
        <v>45668</v>
      </c>
      <c r="C225" t="inlineStr">
        <is>
          <t>ClinicPoint</t>
        </is>
      </c>
      <c r="D225" t="inlineStr">
        <is>
          <t>RRHH</t>
        </is>
      </c>
      <c r="E225" t="inlineStr">
        <is>
          <t>Chile</t>
        </is>
      </c>
      <c r="F225" t="inlineStr">
        <is>
          <t>Mantenimiento intranets</t>
        </is>
      </c>
      <c r="G225" t="inlineStr">
        <is>
          <t>Campaña</t>
        </is>
      </c>
      <c r="H225" t="inlineStr">
        <is>
          <t>Campaña empleo</t>
        </is>
      </c>
      <c r="I225" t="n">
        <v>7</v>
      </c>
      <c r="J225" s="5" t="n">
        <v>1517.83</v>
      </c>
      <c r="K225" s="5">
        <f>ROUND(I225*J225,2)</f>
        <v/>
      </c>
      <c r="L225" s="3" t="n">
        <v>0.05</v>
      </c>
      <c r="M225" s="5">
        <f>ROUND(K225*(1-L225),2)</f>
        <v/>
      </c>
      <c r="N225" s="5" t="n">
        <v>5151.27</v>
      </c>
      <c r="O225" s="5">
        <f>ROUND(M225-N225,2)</f>
        <v/>
      </c>
      <c r="P225" t="inlineStr">
        <is>
          <t>Emitida</t>
        </is>
      </c>
    </row>
    <row r="226">
      <c r="A226" t="inlineStr">
        <is>
          <t>ING-0225</t>
        </is>
      </c>
      <c r="B226" s="2" t="n">
        <v>45570</v>
      </c>
      <c r="C226" t="inlineStr">
        <is>
          <t>SegurPlus</t>
        </is>
      </c>
      <c r="D226" t="inlineStr">
        <is>
          <t>Administración pública</t>
        </is>
      </c>
      <c r="E226" t="inlineStr">
        <is>
          <t>España</t>
        </is>
      </c>
      <c r="F226" t="inlineStr">
        <is>
          <t>Anuncios TV</t>
        </is>
      </c>
      <c r="G226" t="inlineStr">
        <is>
          <t>Retainer trimestral</t>
        </is>
      </c>
      <c r="H226" t="inlineStr">
        <is>
          <t>Campaña empleo</t>
        </is>
      </c>
      <c r="I226" t="n">
        <v>30</v>
      </c>
      <c r="J226" s="5" t="n">
        <v>420.22</v>
      </c>
      <c r="K226" s="5">
        <f>ROUND(I226*J226,2)</f>
        <v/>
      </c>
      <c r="L226" s="3" t="n">
        <v>0.08</v>
      </c>
      <c r="M226" s="5">
        <f>ROUND(K226*(1-L226),2)</f>
        <v/>
      </c>
      <c r="N226" s="5" t="n">
        <v>5944.95</v>
      </c>
      <c r="O226" s="5">
        <f>ROUND(M226-N226,2)</f>
        <v/>
      </c>
      <c r="P226" t="inlineStr">
        <is>
          <t>Cobrada</t>
        </is>
      </c>
    </row>
    <row r="227">
      <c r="A227" t="inlineStr">
        <is>
          <t>ING-0226</t>
        </is>
      </c>
      <c r="B227" s="2" t="n">
        <v>45352</v>
      </c>
      <c r="C227" t="inlineStr">
        <is>
          <t>Campus One</t>
        </is>
      </c>
      <c r="D227" t="inlineStr">
        <is>
          <t>Industria</t>
        </is>
      </c>
      <c r="E227" t="inlineStr">
        <is>
          <t>España</t>
        </is>
      </c>
      <c r="F227" t="inlineStr">
        <is>
          <t>Mantenimiento web</t>
        </is>
      </c>
      <c r="G227" t="inlineStr">
        <is>
          <t>Campaña</t>
        </is>
      </c>
      <c r="H227" t="inlineStr">
        <is>
          <t>Intranet operaciones</t>
        </is>
      </c>
      <c r="I227" t="n">
        <v>7</v>
      </c>
      <c r="J227" s="5" t="n">
        <v>2350.01</v>
      </c>
      <c r="K227" s="5">
        <f>ROUND(I227*J227,2)</f>
        <v/>
      </c>
      <c r="L227" s="3" t="n">
        <v>0</v>
      </c>
      <c r="M227" s="5">
        <f>ROUND(K227*(1-L227),2)</f>
        <v/>
      </c>
      <c r="N227" s="5" t="n">
        <v>10670.44</v>
      </c>
      <c r="O227" s="5">
        <f>ROUND(M227-N227,2)</f>
        <v/>
      </c>
      <c r="P227" t="inlineStr">
        <is>
          <t>Cobrada</t>
        </is>
      </c>
    </row>
    <row r="228">
      <c r="A228" t="inlineStr">
        <is>
          <t>ING-0227</t>
        </is>
      </c>
      <c r="B228" s="2" t="n">
        <v>45293</v>
      </c>
      <c r="C228" t="inlineStr">
        <is>
          <t>EcoLogística</t>
        </is>
      </c>
      <c r="D228" t="inlineStr">
        <is>
          <t>Legal</t>
        </is>
      </c>
      <c r="E228" t="inlineStr">
        <is>
          <t>Portugal</t>
        </is>
      </c>
      <c r="F228" t="inlineStr">
        <is>
          <t>Anuncios TV</t>
        </is>
      </c>
      <c r="G228" t="inlineStr">
        <is>
          <t>Suscripción mensual</t>
        </is>
      </c>
      <c r="H228" t="inlineStr">
        <is>
          <t>Sección noticias</t>
        </is>
      </c>
      <c r="I228" t="n">
        <v>29</v>
      </c>
      <c r="J228" s="5" t="n">
        <v>2012.15</v>
      </c>
      <c r="K228" s="5">
        <f>ROUND(I228*J228,2)</f>
        <v/>
      </c>
      <c r="L228" s="3" t="n">
        <v>0</v>
      </c>
      <c r="M228" s="5">
        <f>ROUND(K228*(1-L228),2)</f>
        <v/>
      </c>
      <c r="N228" s="5" t="n">
        <v>23748.65</v>
      </c>
      <c r="O228" s="5">
        <f>ROUND(M228-N228,2)</f>
        <v/>
      </c>
      <c r="P228" t="inlineStr">
        <is>
          <t>Emitida</t>
        </is>
      </c>
    </row>
    <row r="229">
      <c r="A229" t="inlineStr">
        <is>
          <t>ING-0228</t>
        </is>
      </c>
      <c r="B229" s="2" t="n">
        <v>45639</v>
      </c>
      <c r="C229" t="inlineStr">
        <is>
          <t>Industrias Vega</t>
        </is>
      </c>
      <c r="D229" t="inlineStr">
        <is>
          <t>Salud</t>
        </is>
      </c>
      <c r="E229" t="inlineStr">
        <is>
          <t>México</t>
        </is>
      </c>
      <c r="F229" t="inlineStr">
        <is>
          <t>Anuncios RRHH</t>
        </is>
      </c>
      <c r="G229" t="inlineStr">
        <is>
          <t>Soporte anual</t>
        </is>
      </c>
      <c r="H229" t="inlineStr">
        <is>
          <t>Intranet operaciones</t>
        </is>
      </c>
      <c r="I229" t="n">
        <v>23</v>
      </c>
      <c r="J229" s="5" t="n">
        <v>524.16</v>
      </c>
      <c r="K229" s="5">
        <f>ROUND(I229*J229,2)</f>
        <v/>
      </c>
      <c r="L229" s="3" t="n">
        <v>0</v>
      </c>
      <c r="M229" s="5">
        <f>ROUND(K229*(1-L229),2)</f>
        <v/>
      </c>
      <c r="N229" s="5" t="n">
        <v>8157.18</v>
      </c>
      <c r="O229" s="5">
        <f>ROUND(M229-N229,2)</f>
        <v/>
      </c>
      <c r="P229" t="inlineStr">
        <is>
          <t>Pendiente</t>
        </is>
      </c>
    </row>
    <row r="230">
      <c r="A230" t="inlineStr">
        <is>
          <t>ING-0229</t>
        </is>
      </c>
      <c r="B230" s="2" t="n">
        <v>45625</v>
      </c>
      <c r="C230" t="inlineStr">
        <is>
          <t>TurisWorld</t>
        </is>
      </c>
      <c r="D230" t="inlineStr">
        <is>
          <t>Educación</t>
        </is>
      </c>
      <c r="E230" t="inlineStr">
        <is>
          <t>Chile</t>
        </is>
      </c>
      <c r="F230" t="inlineStr">
        <is>
          <t>Generación de noticias</t>
        </is>
      </c>
      <c r="G230" t="inlineStr">
        <is>
          <t>Proyecto puntual</t>
        </is>
      </c>
      <c r="H230" t="inlineStr">
        <is>
          <t>Portal internacional</t>
        </is>
      </c>
      <c r="I230" t="n">
        <v>77</v>
      </c>
      <c r="J230" s="5" t="n">
        <v>61.05</v>
      </c>
      <c r="K230" s="5">
        <f>ROUND(I230*J230,2)</f>
        <v/>
      </c>
      <c r="L230" s="3" t="n">
        <v>0.08</v>
      </c>
      <c r="M230" s="5">
        <f>ROUND(K230*(1-L230),2)</f>
        <v/>
      </c>
      <c r="N230" s="5" t="n">
        <v>1322.44</v>
      </c>
      <c r="O230" s="5">
        <f>ROUND(M230-N230,2)</f>
        <v/>
      </c>
      <c r="P230" t="inlineStr">
        <is>
          <t>Cobrada</t>
        </is>
      </c>
    </row>
    <row r="231">
      <c r="A231" t="inlineStr">
        <is>
          <t>ING-0230</t>
        </is>
      </c>
      <c r="B231" s="2" t="n">
        <v>45641</v>
      </c>
      <c r="C231" t="inlineStr">
        <is>
          <t>Ayuntamiento Norte</t>
        </is>
      </c>
      <c r="D231" t="inlineStr">
        <is>
          <t>Finanzas</t>
        </is>
      </c>
      <c r="E231" t="inlineStr">
        <is>
          <t>Colombia</t>
        </is>
      </c>
      <c r="F231" t="inlineStr">
        <is>
          <t>Anuncios internet</t>
        </is>
      </c>
      <c r="G231" t="inlineStr">
        <is>
          <t>Soporte anual</t>
        </is>
      </c>
      <c r="H231" t="inlineStr">
        <is>
          <t>Centro de prensa</t>
        </is>
      </c>
      <c r="I231" t="n">
        <v>3</v>
      </c>
      <c r="J231" s="5" t="n">
        <v>1460.19</v>
      </c>
      <c r="K231" s="5">
        <f>ROUND(I231*J231,2)</f>
        <v/>
      </c>
      <c r="L231" s="3" t="n">
        <v>0.08</v>
      </c>
      <c r="M231" s="5">
        <f>ROUND(K231*(1-L231),2)</f>
        <v/>
      </c>
      <c r="N231" s="5" t="n">
        <v>2101.49</v>
      </c>
      <c r="O231" s="5">
        <f>ROUND(M231-N231,2)</f>
        <v/>
      </c>
      <c r="P231" t="inlineStr">
        <is>
          <t>Emitida</t>
        </is>
      </c>
    </row>
    <row r="232">
      <c r="A232" t="inlineStr">
        <is>
          <t>ING-0231</t>
        </is>
      </c>
      <c r="B232" s="2" t="n">
        <v>45700</v>
      </c>
      <c r="C232" t="inlineStr">
        <is>
          <t>Nova Salud</t>
        </is>
      </c>
      <c r="D232" t="inlineStr">
        <is>
          <t>Logística</t>
        </is>
      </c>
      <c r="E232" t="inlineStr">
        <is>
          <t>Portugal</t>
        </is>
      </c>
      <c r="F232" t="inlineStr">
        <is>
          <t>Publicación de noticias</t>
        </is>
      </c>
      <c r="G232" t="inlineStr">
        <is>
          <t>Soporte anual</t>
        </is>
      </c>
      <c r="H232" t="inlineStr">
        <is>
          <t>Microsite RRHH</t>
        </is>
      </c>
      <c r="I232" t="n">
        <v>119</v>
      </c>
      <c r="J232" s="5" t="n">
        <v>168.6</v>
      </c>
      <c r="K232" s="5">
        <f>ROUND(I232*J232,2)</f>
        <v/>
      </c>
      <c r="L232" s="3" t="n">
        <v>0.1</v>
      </c>
      <c r="M232" s="5">
        <f>ROUND(K232*(1-L232),2)</f>
        <v/>
      </c>
      <c r="N232" s="5" t="n">
        <v>12356.7</v>
      </c>
      <c r="O232" s="5">
        <f>ROUND(M232-N232,2)</f>
        <v/>
      </c>
      <c r="P232" t="inlineStr">
        <is>
          <t>Pendiente</t>
        </is>
      </c>
    </row>
    <row r="233">
      <c r="A233" t="inlineStr">
        <is>
          <t>ING-0232</t>
        </is>
      </c>
      <c r="B233" s="2" t="n">
        <v>45602</v>
      </c>
      <c r="C233" t="inlineStr">
        <is>
          <t>SegurPlus</t>
        </is>
      </c>
      <c r="D233" t="inlineStr">
        <is>
          <t>RRHH</t>
        </is>
      </c>
      <c r="E233" t="inlineStr">
        <is>
          <t>Chile</t>
        </is>
      </c>
      <c r="F233" t="inlineStr">
        <is>
          <t>Generación de noticias</t>
        </is>
      </c>
      <c r="G233" t="inlineStr">
        <is>
          <t>Soporte anual</t>
        </is>
      </c>
      <c r="H233" t="inlineStr">
        <is>
          <t>Intranet comercial</t>
        </is>
      </c>
      <c r="I233" t="n">
        <v>42</v>
      </c>
      <c r="J233" s="5" t="n">
        <v>130.77</v>
      </c>
      <c r="K233" s="5">
        <f>ROUND(I233*J233,2)</f>
        <v/>
      </c>
      <c r="L233" s="3" t="n">
        <v>0.1</v>
      </c>
      <c r="M233" s="5">
        <f>ROUND(K233*(1-L233),2)</f>
        <v/>
      </c>
      <c r="N233" s="5" t="n">
        <v>2077.23</v>
      </c>
      <c r="O233" s="5">
        <f>ROUND(M233-N233,2)</f>
        <v/>
      </c>
      <c r="P233" t="inlineStr">
        <is>
          <t>Emitida</t>
        </is>
      </c>
    </row>
    <row r="234">
      <c r="A234" t="inlineStr">
        <is>
          <t>ING-0233</t>
        </is>
      </c>
      <c r="B234" s="2" t="n">
        <v>45706</v>
      </c>
      <c r="C234" t="inlineStr">
        <is>
          <t>Nova Salud</t>
        </is>
      </c>
      <c r="D234" t="inlineStr">
        <is>
          <t>RRHH</t>
        </is>
      </c>
      <c r="E234" t="inlineStr">
        <is>
          <t>Colombia</t>
        </is>
      </c>
      <c r="F234" t="inlineStr">
        <is>
          <t>Generación de noticias</t>
        </is>
      </c>
      <c r="G234" t="inlineStr">
        <is>
          <t>Suscripción mensual</t>
        </is>
      </c>
      <c r="H234" t="inlineStr">
        <is>
          <t>Portal internacional</t>
        </is>
      </c>
      <c r="I234" t="n">
        <v>62</v>
      </c>
      <c r="J234" s="5" t="n">
        <v>127.65</v>
      </c>
      <c r="K234" s="5">
        <f>ROUND(I234*J234,2)</f>
        <v/>
      </c>
      <c r="L234" s="3" t="n">
        <v>0</v>
      </c>
      <c r="M234" s="5">
        <f>ROUND(K234*(1-L234),2)</f>
        <v/>
      </c>
      <c r="N234" s="5" t="n">
        <v>3705.77</v>
      </c>
      <c r="O234" s="5">
        <f>ROUND(M234-N234,2)</f>
        <v/>
      </c>
      <c r="P234" t="inlineStr">
        <is>
          <t>Emitida</t>
        </is>
      </c>
    </row>
    <row r="235">
      <c r="A235" t="inlineStr">
        <is>
          <t>ING-0234</t>
        </is>
      </c>
      <c r="B235" s="2" t="n">
        <v>45685</v>
      </c>
      <c r="C235" t="inlineStr">
        <is>
          <t>TurisWorld</t>
        </is>
      </c>
      <c r="D235" t="inlineStr">
        <is>
          <t>Salud</t>
        </is>
      </c>
      <c r="E235" t="inlineStr">
        <is>
          <t>Chile</t>
        </is>
      </c>
      <c r="F235" t="inlineStr">
        <is>
          <t>Anuncios TV</t>
        </is>
      </c>
      <c r="G235" t="inlineStr">
        <is>
          <t>Campaña</t>
        </is>
      </c>
      <c r="H235" t="inlineStr">
        <is>
          <t>Centro de prensa</t>
        </is>
      </c>
      <c r="I235" t="n">
        <v>16</v>
      </c>
      <c r="J235" s="5" t="n">
        <v>1067.67</v>
      </c>
      <c r="K235" s="5">
        <f>ROUND(I235*J235,2)</f>
        <v/>
      </c>
      <c r="L235" s="3" t="n">
        <v>0.05</v>
      </c>
      <c r="M235" s="5">
        <f>ROUND(K235*(1-L235),2)</f>
        <v/>
      </c>
      <c r="N235" s="5" t="n">
        <v>5710.31</v>
      </c>
      <c r="O235" s="5">
        <f>ROUND(M235-N235,2)</f>
        <v/>
      </c>
      <c r="P235" t="inlineStr">
        <is>
          <t>Emitida</t>
        </is>
      </c>
    </row>
    <row r="236">
      <c r="A236" t="inlineStr">
        <is>
          <t>ING-0235</t>
        </is>
      </c>
      <c r="B236" s="2" t="n">
        <v>45569</v>
      </c>
      <c r="C236" t="inlineStr">
        <is>
          <t>FinanData</t>
        </is>
      </c>
      <c r="D236" t="inlineStr">
        <is>
          <t>Logística</t>
        </is>
      </c>
      <c r="E236" t="inlineStr">
        <is>
          <t>Chile</t>
        </is>
      </c>
      <c r="F236" t="inlineStr">
        <is>
          <t>Traducciones</t>
        </is>
      </c>
      <c r="G236" t="inlineStr">
        <is>
          <t>Campaña</t>
        </is>
      </c>
      <c r="H236" t="inlineStr">
        <is>
          <t>Intranet operaciones</t>
        </is>
      </c>
      <c r="I236" t="n">
        <v>68</v>
      </c>
      <c r="J236" s="5" t="n">
        <v>125.46</v>
      </c>
      <c r="K236" s="5">
        <f>ROUND(I236*J236,2)</f>
        <v/>
      </c>
      <c r="L236" s="3" t="n">
        <v>0.1</v>
      </c>
      <c r="M236" s="5">
        <f>ROUND(K236*(1-L236),2)</f>
        <v/>
      </c>
      <c r="N236" s="5" t="n">
        <v>3939.44</v>
      </c>
      <c r="O236" s="5">
        <f>ROUND(M236-N236,2)</f>
        <v/>
      </c>
      <c r="P236" t="inlineStr">
        <is>
          <t>Emitida</t>
        </is>
      </c>
    </row>
    <row r="237">
      <c r="A237" t="inlineStr">
        <is>
          <t>ING-0236</t>
        </is>
      </c>
      <c r="B237" s="2" t="n">
        <v>45675</v>
      </c>
      <c r="C237" t="inlineStr">
        <is>
          <t>Nova Salud</t>
        </is>
      </c>
      <c r="D237" t="inlineStr">
        <is>
          <t>Medios</t>
        </is>
      </c>
      <c r="E237" t="inlineStr">
        <is>
          <t>Chile</t>
        </is>
      </c>
      <c r="F237" t="inlineStr">
        <is>
          <t>Publicación de noticias</t>
        </is>
      </c>
      <c r="G237" t="inlineStr">
        <is>
          <t>Retainer trimestral</t>
        </is>
      </c>
      <c r="H237" t="inlineStr">
        <is>
          <t>Portal corporativo</t>
        </is>
      </c>
      <c r="I237" t="n">
        <v>71</v>
      </c>
      <c r="J237" s="5" t="n">
        <v>120.75</v>
      </c>
      <c r="K237" s="5">
        <f>ROUND(I237*J237,2)</f>
        <v/>
      </c>
      <c r="L237" s="3" t="n">
        <v>0.05</v>
      </c>
      <c r="M237" s="5">
        <f>ROUND(K237*(1-L237),2)</f>
        <v/>
      </c>
      <c r="N237" s="5" t="n">
        <v>3964.19</v>
      </c>
      <c r="O237" s="5">
        <f>ROUND(M237-N237,2)</f>
        <v/>
      </c>
      <c r="P237" t="inlineStr">
        <is>
          <t>Pendiente</t>
        </is>
      </c>
    </row>
    <row r="238">
      <c r="A238" t="inlineStr">
        <is>
          <t>ING-0237</t>
        </is>
      </c>
      <c r="B238" s="2" t="n">
        <v>45307</v>
      </c>
      <c r="C238" t="inlineStr">
        <is>
          <t>Industrias Vega</t>
        </is>
      </c>
      <c r="D238" t="inlineStr">
        <is>
          <t>Administración pública</t>
        </is>
      </c>
      <c r="E238" t="inlineStr">
        <is>
          <t>Colombia</t>
        </is>
      </c>
      <c r="F238" t="inlineStr">
        <is>
          <t>Publicación de noticias</t>
        </is>
      </c>
      <c r="G238" t="inlineStr">
        <is>
          <t>Soporte anual</t>
        </is>
      </c>
      <c r="H238" t="inlineStr">
        <is>
          <t>Portal internacional</t>
        </is>
      </c>
      <c r="I238" t="n">
        <v>52</v>
      </c>
      <c r="J238" s="5" t="n">
        <v>47.26</v>
      </c>
      <c r="K238" s="5">
        <f>ROUND(I238*J238,2)</f>
        <v/>
      </c>
      <c r="L238" s="3" t="n">
        <v>0.1</v>
      </c>
      <c r="M238" s="5">
        <f>ROUND(K238*(1-L238),2)</f>
        <v/>
      </c>
      <c r="N238" s="5" t="n">
        <v>899.03</v>
      </c>
      <c r="O238" s="5">
        <f>ROUND(M238-N238,2)</f>
        <v/>
      </c>
      <c r="P238" t="inlineStr">
        <is>
          <t>Cobrada</t>
        </is>
      </c>
    </row>
    <row r="239">
      <c r="A239" t="inlineStr">
        <is>
          <t>ING-0238</t>
        </is>
      </c>
      <c r="B239" s="2" t="n">
        <v>45382</v>
      </c>
      <c r="C239" t="inlineStr">
        <is>
          <t>SegurPlus</t>
        </is>
      </c>
      <c r="D239" t="inlineStr">
        <is>
          <t>Tecnología</t>
        </is>
      </c>
      <c r="E239" t="inlineStr">
        <is>
          <t>México</t>
        </is>
      </c>
      <c r="F239" t="inlineStr">
        <is>
          <t>Mantenimiento web</t>
        </is>
      </c>
      <c r="G239" t="inlineStr">
        <is>
          <t>Retainer trimestral</t>
        </is>
      </c>
      <c r="H239" t="inlineStr">
        <is>
          <t>Sección noticias</t>
        </is>
      </c>
      <c r="I239" t="n">
        <v>2</v>
      </c>
      <c r="J239" s="5" t="n">
        <v>1504.51</v>
      </c>
      <c r="K239" s="5">
        <f>ROUND(I239*J239,2)</f>
        <v/>
      </c>
      <c r="L239" s="3" t="n">
        <v>0.08</v>
      </c>
      <c r="M239" s="5">
        <f>ROUND(K239*(1-L239),2)</f>
        <v/>
      </c>
      <c r="N239" s="5" t="n">
        <v>1916.44</v>
      </c>
      <c r="O239" s="5">
        <f>ROUND(M239-N239,2)</f>
        <v/>
      </c>
      <c r="P239" t="inlineStr">
        <is>
          <t>Cobrada</t>
        </is>
      </c>
    </row>
    <row r="240">
      <c r="A240" t="inlineStr">
        <is>
          <t>ING-0239</t>
        </is>
      </c>
      <c r="B240" s="2" t="n">
        <v>45709</v>
      </c>
      <c r="C240" t="inlineStr">
        <is>
          <t>Smart Factory</t>
        </is>
      </c>
      <c r="D240" t="inlineStr">
        <is>
          <t>Turismo</t>
        </is>
      </c>
      <c r="E240" t="inlineStr">
        <is>
          <t>Portugal</t>
        </is>
      </c>
      <c r="F240" t="inlineStr">
        <is>
          <t>Anuncios internet</t>
        </is>
      </c>
      <c r="G240" t="inlineStr">
        <is>
          <t>Proyecto puntual</t>
        </is>
      </c>
      <c r="H240" t="inlineStr">
        <is>
          <t>Sección noticias</t>
        </is>
      </c>
      <c r="I240" t="n">
        <v>14</v>
      </c>
      <c r="J240" s="5" t="n">
        <v>610.85</v>
      </c>
      <c r="K240" s="5">
        <f>ROUND(I240*J240,2)</f>
        <v/>
      </c>
      <c r="L240" s="3" t="n">
        <v>0.1</v>
      </c>
      <c r="M240" s="5">
        <f>ROUND(K240*(1-L240),2)</f>
        <v/>
      </c>
      <c r="N240" s="5" t="n">
        <v>3436.15</v>
      </c>
      <c r="O240" s="5">
        <f>ROUND(M240-N240,2)</f>
        <v/>
      </c>
      <c r="P240" t="inlineStr">
        <is>
          <t>Pendiente</t>
        </is>
      </c>
    </row>
    <row r="241">
      <c r="A241" t="inlineStr">
        <is>
          <t>ING-0240</t>
        </is>
      </c>
      <c r="B241" s="2" t="n">
        <v>45391</v>
      </c>
      <c r="C241" t="inlineStr">
        <is>
          <t>Prensa Local 24</t>
        </is>
      </c>
      <c r="D241" t="inlineStr">
        <is>
          <t>Logística</t>
        </is>
      </c>
      <c r="E241" t="inlineStr">
        <is>
          <t>España</t>
        </is>
      </c>
      <c r="F241" t="inlineStr">
        <is>
          <t>Generación de noticias</t>
        </is>
      </c>
      <c r="G241" t="inlineStr">
        <is>
          <t>Retainer trimestral</t>
        </is>
      </c>
      <c r="H241" t="inlineStr">
        <is>
          <t>Microsite RRHH</t>
        </is>
      </c>
      <c r="I241" t="n">
        <v>111</v>
      </c>
      <c r="J241" s="5" t="n">
        <v>161.29</v>
      </c>
      <c r="K241" s="5">
        <f>ROUND(I241*J241,2)</f>
        <v/>
      </c>
      <c r="L241" s="3" t="n">
        <v>0</v>
      </c>
      <c r="M241" s="5">
        <f>ROUND(K241*(1-L241),2)</f>
        <v/>
      </c>
      <c r="N241" s="5" t="n">
        <v>11144.99</v>
      </c>
      <c r="O241" s="5">
        <f>ROUND(M241-N241,2)</f>
        <v/>
      </c>
      <c r="P241" t="inlineStr">
        <is>
          <t>Cobrada</t>
        </is>
      </c>
    </row>
    <row r="242">
      <c r="A242" t="inlineStr">
        <is>
          <t>ING-0241</t>
        </is>
      </c>
      <c r="B242" s="2" t="n">
        <v>45539</v>
      </c>
      <c r="C242" t="inlineStr">
        <is>
          <t>TurisWorld</t>
        </is>
      </c>
      <c r="D242" t="inlineStr">
        <is>
          <t>Tecnología</t>
        </is>
      </c>
      <c r="E242" t="inlineStr">
        <is>
          <t>Colombia</t>
        </is>
      </c>
      <c r="F242" t="inlineStr">
        <is>
          <t>Traducciones</t>
        </is>
      </c>
      <c r="G242" t="inlineStr">
        <is>
          <t>Proyecto puntual</t>
        </is>
      </c>
      <c r="H242" t="inlineStr">
        <is>
          <t>Sección noticias</t>
        </is>
      </c>
      <c r="I242" t="n">
        <v>28</v>
      </c>
      <c r="J242" s="5" t="n">
        <v>114.63</v>
      </c>
      <c r="K242" s="5">
        <f>ROUND(I242*J242,2)</f>
        <v/>
      </c>
      <c r="L242" s="3" t="n">
        <v>0.05</v>
      </c>
      <c r="M242" s="5">
        <f>ROUND(K242*(1-L242),2)</f>
        <v/>
      </c>
      <c r="N242" s="5" t="n">
        <v>1268.7</v>
      </c>
      <c r="O242" s="5">
        <f>ROUND(M242-N242,2)</f>
        <v/>
      </c>
      <c r="P242" t="inlineStr">
        <is>
          <t>Pendiente</t>
        </is>
      </c>
    </row>
    <row r="243">
      <c r="A243" t="inlineStr">
        <is>
          <t>ING-0242</t>
        </is>
      </c>
      <c r="B243" s="2" t="n">
        <v>45481</v>
      </c>
      <c r="C243" t="inlineStr">
        <is>
          <t>Innova Retail</t>
        </is>
      </c>
      <c r="D243" t="inlineStr">
        <is>
          <t>Finanzas</t>
        </is>
      </c>
      <c r="E243" t="inlineStr">
        <is>
          <t>Chile</t>
        </is>
      </c>
      <c r="F243" t="inlineStr">
        <is>
          <t>Mantenimiento intranets</t>
        </is>
      </c>
      <c r="G243" t="inlineStr">
        <is>
          <t>Suscripción mensual</t>
        </is>
      </c>
      <c r="H243" t="inlineStr">
        <is>
          <t>Microsite RRHH</t>
        </is>
      </c>
      <c r="I243" t="n">
        <v>6</v>
      </c>
      <c r="J243" s="5" t="n">
        <v>2807.07</v>
      </c>
      <c r="K243" s="5">
        <f>ROUND(I243*J243,2)</f>
        <v/>
      </c>
      <c r="L243" s="3" t="n">
        <v>0.03</v>
      </c>
      <c r="M243" s="5">
        <f>ROUND(K243*(1-L243),2)</f>
        <v/>
      </c>
      <c r="N243" s="5" t="n">
        <v>9871.73</v>
      </c>
      <c r="O243" s="5">
        <f>ROUND(M243-N243,2)</f>
        <v/>
      </c>
      <c r="P243" t="inlineStr">
        <is>
          <t>Cobrada</t>
        </is>
      </c>
    </row>
    <row r="244">
      <c r="A244" t="inlineStr">
        <is>
          <t>ING-0243</t>
        </is>
      </c>
      <c r="B244" s="2" t="n">
        <v>45578</v>
      </c>
      <c r="C244" t="inlineStr">
        <is>
          <t>SegurPlus</t>
        </is>
      </c>
      <c r="D244" t="inlineStr">
        <is>
          <t>Salud</t>
        </is>
      </c>
      <c r="E244" t="inlineStr">
        <is>
          <t>Chile</t>
        </is>
      </c>
      <c r="F244" t="inlineStr">
        <is>
          <t>Mantenimiento web</t>
        </is>
      </c>
      <c r="G244" t="inlineStr">
        <is>
          <t>Retainer trimestral</t>
        </is>
      </c>
      <c r="H244" t="inlineStr">
        <is>
          <t>Intranet operaciones</t>
        </is>
      </c>
      <c r="I244" t="n">
        <v>5</v>
      </c>
      <c r="J244" s="5" t="n">
        <v>4342.53</v>
      </c>
      <c r="K244" s="5">
        <f>ROUND(I244*J244,2)</f>
        <v/>
      </c>
      <c r="L244" s="3" t="n">
        <v>0.1</v>
      </c>
      <c r="M244" s="5">
        <f>ROUND(K244*(1-L244),2)</f>
        <v/>
      </c>
      <c r="N244" s="5" t="n">
        <v>14293.84</v>
      </c>
      <c r="O244" s="5">
        <f>ROUND(M244-N244,2)</f>
        <v/>
      </c>
      <c r="P244" t="inlineStr">
        <is>
          <t>Cobrada</t>
        </is>
      </c>
    </row>
    <row r="245">
      <c r="A245" t="inlineStr">
        <is>
          <t>ING-0244</t>
        </is>
      </c>
      <c r="B245" s="2" t="n">
        <v>45353</v>
      </c>
      <c r="C245" t="inlineStr">
        <is>
          <t>TalentHub</t>
        </is>
      </c>
      <c r="D245" t="inlineStr">
        <is>
          <t>Logística</t>
        </is>
      </c>
      <c r="E245" t="inlineStr">
        <is>
          <t>España</t>
        </is>
      </c>
      <c r="F245" t="inlineStr">
        <is>
          <t>Generación de noticias</t>
        </is>
      </c>
      <c r="G245" t="inlineStr">
        <is>
          <t>Suscripción mensual</t>
        </is>
      </c>
      <c r="H245" t="inlineStr">
        <is>
          <t>Intranet operaciones</t>
        </is>
      </c>
      <c r="I245" t="n">
        <v>5</v>
      </c>
      <c r="J245" s="5" t="n">
        <v>67.18000000000001</v>
      </c>
      <c r="K245" s="5">
        <f>ROUND(I245*J245,2)</f>
        <v/>
      </c>
      <c r="L245" s="3" t="n">
        <v>0.08</v>
      </c>
      <c r="M245" s="5">
        <f>ROUND(K245*(1-L245),2)</f>
        <v/>
      </c>
      <c r="N245" s="5" t="n">
        <v>174.71</v>
      </c>
      <c r="O245" s="5">
        <f>ROUND(M245-N245,2)</f>
        <v/>
      </c>
      <c r="P245" t="inlineStr">
        <is>
          <t>Cobrada</t>
        </is>
      </c>
    </row>
    <row r="246">
      <c r="A246" t="inlineStr">
        <is>
          <t>ING-0245</t>
        </is>
      </c>
      <c r="B246" s="2" t="n">
        <v>45589</v>
      </c>
      <c r="C246" t="inlineStr">
        <is>
          <t>BioMedic</t>
        </is>
      </c>
      <c r="D246" t="inlineStr">
        <is>
          <t>Turismo</t>
        </is>
      </c>
      <c r="E246" t="inlineStr">
        <is>
          <t>España</t>
        </is>
      </c>
      <c r="F246" t="inlineStr">
        <is>
          <t>Publicación de noticias</t>
        </is>
      </c>
      <c r="G246" t="inlineStr">
        <is>
          <t>Suscripción mensual</t>
        </is>
      </c>
      <c r="H246" t="inlineStr">
        <is>
          <t>Portal internacional</t>
        </is>
      </c>
      <c r="I246" t="n">
        <v>30</v>
      </c>
      <c r="J246" s="5" t="n">
        <v>113.02</v>
      </c>
      <c r="K246" s="5">
        <f>ROUND(I246*J246,2)</f>
        <v/>
      </c>
      <c r="L246" s="3" t="n">
        <v>0</v>
      </c>
      <c r="M246" s="5">
        <f>ROUND(K246*(1-L246),2)</f>
        <v/>
      </c>
      <c r="N246" s="5" t="n">
        <v>1874.99</v>
      </c>
      <c r="O246" s="5">
        <f>ROUND(M246-N246,2)</f>
        <v/>
      </c>
      <c r="P246" t="inlineStr">
        <is>
          <t>Cobrada</t>
        </is>
      </c>
    </row>
    <row r="247">
      <c r="A247" t="inlineStr">
        <is>
          <t>ING-0246</t>
        </is>
      </c>
      <c r="B247" s="2" t="n">
        <v>45715</v>
      </c>
      <c r="C247" t="inlineStr">
        <is>
          <t>SegurPlus</t>
        </is>
      </c>
      <c r="D247" t="inlineStr">
        <is>
          <t>Finanzas</t>
        </is>
      </c>
      <c r="E247" t="inlineStr">
        <is>
          <t>España</t>
        </is>
      </c>
      <c r="F247" t="inlineStr">
        <is>
          <t>Generación de noticias</t>
        </is>
      </c>
      <c r="G247" t="inlineStr">
        <is>
          <t>Proyecto puntual</t>
        </is>
      </c>
      <c r="H247" t="inlineStr">
        <is>
          <t>Sección noticias</t>
        </is>
      </c>
      <c r="I247" t="n">
        <v>46</v>
      </c>
      <c r="J247" s="5" t="n">
        <v>81.11</v>
      </c>
      <c r="K247" s="5">
        <f>ROUND(I247*J247,2)</f>
        <v/>
      </c>
      <c r="L247" s="3" t="n">
        <v>0.03</v>
      </c>
      <c r="M247" s="5">
        <f>ROUND(K247*(1-L247),2)</f>
        <v/>
      </c>
      <c r="N247" s="5" t="n">
        <v>1105.28</v>
      </c>
      <c r="O247" s="5">
        <f>ROUND(M247-N247,2)</f>
        <v/>
      </c>
      <c r="P247" t="inlineStr">
        <is>
          <t>Pendiente</t>
        </is>
      </c>
    </row>
    <row r="248">
      <c r="A248" t="inlineStr">
        <is>
          <t>ING-0247</t>
        </is>
      </c>
      <c r="B248" s="2" t="n">
        <v>45341</v>
      </c>
      <c r="C248" t="inlineStr">
        <is>
          <t>BioMedic</t>
        </is>
      </c>
      <c r="D248" t="inlineStr">
        <is>
          <t>Administración pública</t>
        </is>
      </c>
      <c r="E248" t="inlineStr">
        <is>
          <t>Colombia</t>
        </is>
      </c>
      <c r="F248" t="inlineStr">
        <is>
          <t>Mantenimiento intranets</t>
        </is>
      </c>
      <c r="G248" t="inlineStr">
        <is>
          <t>Retainer trimestral</t>
        </is>
      </c>
      <c r="H248" t="inlineStr">
        <is>
          <t>Portal corporativo</t>
        </is>
      </c>
      <c r="I248" t="n">
        <v>8</v>
      </c>
      <c r="J248" s="5" t="n">
        <v>3520.23</v>
      </c>
      <c r="K248" s="5">
        <f>ROUND(I248*J248,2)</f>
        <v/>
      </c>
      <c r="L248" s="3" t="n">
        <v>0</v>
      </c>
      <c r="M248" s="5">
        <f>ROUND(K248*(1-L248),2)</f>
        <v/>
      </c>
      <c r="N248" s="5" t="n">
        <v>18552.11</v>
      </c>
      <c r="O248" s="5">
        <f>ROUND(M248-N248,2)</f>
        <v/>
      </c>
      <c r="P248" t="inlineStr">
        <is>
          <t>Pendiente</t>
        </is>
      </c>
    </row>
    <row r="249">
      <c r="A249" t="inlineStr">
        <is>
          <t>ING-0248</t>
        </is>
      </c>
      <c r="B249" s="2" t="n">
        <v>45437</v>
      </c>
      <c r="C249" t="inlineStr">
        <is>
          <t>EducaPro</t>
        </is>
      </c>
      <c r="D249" t="inlineStr">
        <is>
          <t>Salud</t>
        </is>
      </c>
      <c r="E249" t="inlineStr">
        <is>
          <t>México</t>
        </is>
      </c>
      <c r="F249" t="inlineStr">
        <is>
          <t>Generación de noticias</t>
        </is>
      </c>
      <c r="G249" t="inlineStr">
        <is>
          <t>Proyecto puntual</t>
        </is>
      </c>
      <c r="H249" t="inlineStr">
        <is>
          <t>Intranet operaciones</t>
        </is>
      </c>
      <c r="I249" t="n">
        <v>94</v>
      </c>
      <c r="J249" s="5" t="n">
        <v>161</v>
      </c>
      <c r="K249" s="5">
        <f>ROUND(I249*J249,2)</f>
        <v/>
      </c>
      <c r="L249" s="3" t="n">
        <v>0.05</v>
      </c>
      <c r="M249" s="5">
        <f>ROUND(K249*(1-L249),2)</f>
        <v/>
      </c>
      <c r="N249" s="5" t="n">
        <v>9004.889999999999</v>
      </c>
      <c r="O249" s="5">
        <f>ROUND(M249-N249,2)</f>
        <v/>
      </c>
      <c r="P249" t="inlineStr">
        <is>
          <t>Pendiente</t>
        </is>
      </c>
    </row>
    <row r="250">
      <c r="A250" t="inlineStr">
        <is>
          <t>ING-0249</t>
        </is>
      </c>
      <c r="B250" s="2" t="n">
        <v>45322</v>
      </c>
      <c r="C250" t="inlineStr">
        <is>
          <t>Smart Factory</t>
        </is>
      </c>
      <c r="D250" t="inlineStr">
        <is>
          <t>RRHH</t>
        </is>
      </c>
      <c r="E250" t="inlineStr">
        <is>
          <t>Portugal</t>
        </is>
      </c>
      <c r="F250" t="inlineStr">
        <is>
          <t>Anuncios TV</t>
        </is>
      </c>
      <c r="G250" t="inlineStr">
        <is>
          <t>Campaña</t>
        </is>
      </c>
      <c r="H250" t="inlineStr">
        <is>
          <t>Portal corporativo</t>
        </is>
      </c>
      <c r="I250" t="n">
        <v>24</v>
      </c>
      <c r="J250" s="5" t="n">
        <v>1540.58</v>
      </c>
      <c r="K250" s="5">
        <f>ROUND(I250*J250,2)</f>
        <v/>
      </c>
      <c r="L250" s="3" t="n">
        <v>0.03</v>
      </c>
      <c r="M250" s="5">
        <f>ROUND(K250*(1-L250),2)</f>
        <v/>
      </c>
      <c r="N250" s="5" t="n">
        <v>16761.79</v>
      </c>
      <c r="O250" s="5">
        <f>ROUND(M250-N250,2)</f>
        <v/>
      </c>
      <c r="P250" t="inlineStr">
        <is>
          <t>Cobrada</t>
        </is>
      </c>
    </row>
    <row r="251">
      <c r="A251" t="inlineStr">
        <is>
          <t>ING-0250</t>
        </is>
      </c>
      <c r="B251" s="2" t="n">
        <v>45684</v>
      </c>
      <c r="C251" t="inlineStr">
        <is>
          <t>Industrias Vega</t>
        </is>
      </c>
      <c r="D251" t="inlineStr">
        <is>
          <t>Administración pública</t>
        </is>
      </c>
      <c r="E251" t="inlineStr">
        <is>
          <t>Portugal</t>
        </is>
      </c>
      <c r="F251" t="inlineStr">
        <is>
          <t>Publicación de noticias</t>
        </is>
      </c>
      <c r="G251" t="inlineStr">
        <is>
          <t>Proyecto puntual</t>
        </is>
      </c>
      <c r="H251" t="inlineStr">
        <is>
          <t>Portal internacional</t>
        </is>
      </c>
      <c r="I251" t="n">
        <v>113</v>
      </c>
      <c r="J251" s="5" t="n">
        <v>112</v>
      </c>
      <c r="K251" s="5">
        <f>ROUND(I251*J251,2)</f>
        <v/>
      </c>
      <c r="L251" s="3" t="n">
        <v>0.08</v>
      </c>
      <c r="M251" s="5">
        <f>ROUND(K251*(1-L251),2)</f>
        <v/>
      </c>
      <c r="N251" s="5" t="n">
        <v>6199.39</v>
      </c>
      <c r="O251" s="5">
        <f>ROUND(M251-N251,2)</f>
        <v/>
      </c>
      <c r="P251" t="inlineStr">
        <is>
          <t>Cobrada</t>
        </is>
      </c>
    </row>
    <row r="252">
      <c r="A252" t="inlineStr">
        <is>
          <t>ING-0251</t>
        </is>
      </c>
      <c r="B252" s="2" t="n">
        <v>45504</v>
      </c>
      <c r="C252" t="inlineStr">
        <is>
          <t>Campus One</t>
        </is>
      </c>
      <c r="D252" t="inlineStr">
        <is>
          <t>Legal</t>
        </is>
      </c>
      <c r="E252" t="inlineStr">
        <is>
          <t>Colombia</t>
        </is>
      </c>
      <c r="F252" t="inlineStr">
        <is>
          <t>Anuncios prensa</t>
        </is>
      </c>
      <c r="G252" t="inlineStr">
        <is>
          <t>Retainer trimestral</t>
        </is>
      </c>
      <c r="H252" t="inlineStr">
        <is>
          <t>Centro de prensa</t>
        </is>
      </c>
      <c r="I252" t="n">
        <v>12</v>
      </c>
      <c r="J252" s="5" t="n">
        <v>2180.48</v>
      </c>
      <c r="K252" s="5">
        <f>ROUND(I252*J252,2)</f>
        <v/>
      </c>
      <c r="L252" s="3" t="n">
        <v>0</v>
      </c>
      <c r="M252" s="5">
        <f>ROUND(K252*(1-L252),2)</f>
        <v/>
      </c>
      <c r="N252" s="5" t="n">
        <v>13107.32</v>
      </c>
      <c r="O252" s="5">
        <f>ROUND(M252-N252,2)</f>
        <v/>
      </c>
      <c r="P252" t="inlineStr">
        <is>
          <t>Emitida</t>
        </is>
      </c>
    </row>
    <row r="253">
      <c r="A253" t="inlineStr">
        <is>
          <t>ING-0252</t>
        </is>
      </c>
      <c r="B253" s="2" t="n">
        <v>45634</v>
      </c>
      <c r="C253" t="inlineStr">
        <is>
          <t>Ayuntamiento Norte</t>
        </is>
      </c>
      <c r="D253" t="inlineStr">
        <is>
          <t>Legal</t>
        </is>
      </c>
      <c r="E253" t="inlineStr">
        <is>
          <t>México</t>
        </is>
      </c>
      <c r="F253" t="inlineStr">
        <is>
          <t>Anuncios internet</t>
        </is>
      </c>
      <c r="G253" t="inlineStr">
        <is>
          <t>Soporte anual</t>
        </is>
      </c>
      <c r="H253" t="inlineStr">
        <is>
          <t>Microsite RRHH</t>
        </is>
      </c>
      <c r="I253" t="n">
        <v>18</v>
      </c>
      <c r="J253" s="5" t="n">
        <v>942.62</v>
      </c>
      <c r="K253" s="5">
        <f>ROUND(I253*J253,2)</f>
        <v/>
      </c>
      <c r="L253" s="3" t="n">
        <v>0.03</v>
      </c>
      <c r="M253" s="5">
        <f>ROUND(K253*(1-L253),2)</f>
        <v/>
      </c>
      <c r="N253" s="5" t="n">
        <v>9646.6</v>
      </c>
      <c r="O253" s="5">
        <f>ROUND(M253-N253,2)</f>
        <v/>
      </c>
      <c r="P253" t="inlineStr">
        <is>
          <t>Cobrada</t>
        </is>
      </c>
    </row>
    <row r="254">
      <c r="A254" t="inlineStr">
        <is>
          <t>ING-0253</t>
        </is>
      </c>
      <c r="B254" s="2" t="n">
        <v>45352</v>
      </c>
      <c r="C254" t="inlineStr">
        <is>
          <t>EducaPro</t>
        </is>
      </c>
      <c r="D254" t="inlineStr">
        <is>
          <t>RRHH</t>
        </is>
      </c>
      <c r="E254" t="inlineStr">
        <is>
          <t>Colombia</t>
        </is>
      </c>
      <c r="F254" t="inlineStr">
        <is>
          <t>Generación de noticias</t>
        </is>
      </c>
      <c r="G254" t="inlineStr">
        <is>
          <t>Retainer trimestral</t>
        </is>
      </c>
      <c r="H254" t="inlineStr">
        <is>
          <t>Portal corporativo</t>
        </is>
      </c>
      <c r="I254" t="n">
        <v>69</v>
      </c>
      <c r="J254" s="5" t="n">
        <v>58.05</v>
      </c>
      <c r="K254" s="5">
        <f>ROUND(I254*J254,2)</f>
        <v/>
      </c>
      <c r="L254" s="3" t="n">
        <v>0</v>
      </c>
      <c r="M254" s="5">
        <f>ROUND(K254*(1-L254),2)</f>
        <v/>
      </c>
      <c r="N254" s="5" t="n">
        <v>2651.17</v>
      </c>
      <c r="O254" s="5">
        <f>ROUND(M254-N254,2)</f>
        <v/>
      </c>
      <c r="P254" t="inlineStr">
        <is>
          <t>Emitida</t>
        </is>
      </c>
    </row>
    <row r="255">
      <c r="A255" t="inlineStr">
        <is>
          <t>ING-0254</t>
        </is>
      </c>
      <c r="B255" s="2" t="n">
        <v>45409</v>
      </c>
      <c r="C255" t="inlineStr">
        <is>
          <t>Retail Vision</t>
        </is>
      </c>
      <c r="D255" t="inlineStr">
        <is>
          <t>Medios</t>
        </is>
      </c>
      <c r="E255" t="inlineStr">
        <is>
          <t>Portugal</t>
        </is>
      </c>
      <c r="F255" t="inlineStr">
        <is>
          <t>Mantenimiento web</t>
        </is>
      </c>
      <c r="G255" t="inlineStr">
        <is>
          <t>Suscripción mensual</t>
        </is>
      </c>
      <c r="H255" t="inlineStr">
        <is>
          <t>Campaña empleo</t>
        </is>
      </c>
      <c r="I255" t="n">
        <v>3</v>
      </c>
      <c r="J255" s="5" t="n">
        <v>3785.84</v>
      </c>
      <c r="K255" s="5">
        <f>ROUND(I255*J255,2)</f>
        <v/>
      </c>
      <c r="L255" s="3" t="n">
        <v>0</v>
      </c>
      <c r="M255" s="5">
        <f>ROUND(K255*(1-L255),2)</f>
        <v/>
      </c>
      <c r="N255" s="5" t="n">
        <v>4658.59</v>
      </c>
      <c r="O255" s="5">
        <f>ROUND(M255-N255,2)</f>
        <v/>
      </c>
      <c r="P255" t="inlineStr">
        <is>
          <t>Pendiente</t>
        </is>
      </c>
    </row>
    <row r="256">
      <c r="A256" t="inlineStr">
        <is>
          <t>ING-0255</t>
        </is>
      </c>
      <c r="B256" s="2" t="n">
        <v>45457</v>
      </c>
      <c r="C256" t="inlineStr">
        <is>
          <t>SegurPlus</t>
        </is>
      </c>
      <c r="D256" t="inlineStr">
        <is>
          <t>Industria</t>
        </is>
      </c>
      <c r="E256" t="inlineStr">
        <is>
          <t>España</t>
        </is>
      </c>
      <c r="F256" t="inlineStr">
        <is>
          <t>Traducciones</t>
        </is>
      </c>
      <c r="G256" t="inlineStr">
        <is>
          <t>Soporte anual</t>
        </is>
      </c>
      <c r="H256" t="inlineStr">
        <is>
          <t>Campaña empleo</t>
        </is>
      </c>
      <c r="I256" t="n">
        <v>116</v>
      </c>
      <c r="J256" s="5" t="n">
        <v>84.43000000000001</v>
      </c>
      <c r="K256" s="5">
        <f>ROUND(I256*J256,2)</f>
        <v/>
      </c>
      <c r="L256" s="3" t="n">
        <v>0.1</v>
      </c>
      <c r="M256" s="5">
        <f>ROUND(K256*(1-L256),2)</f>
        <v/>
      </c>
      <c r="N256" s="5" t="n">
        <v>3325.99</v>
      </c>
      <c r="O256" s="5">
        <f>ROUND(M256-N256,2)</f>
        <v/>
      </c>
      <c r="P256" t="inlineStr">
        <is>
          <t>Pendiente</t>
        </is>
      </c>
    </row>
    <row r="257">
      <c r="A257" t="inlineStr">
        <is>
          <t>ING-0256</t>
        </is>
      </c>
      <c r="B257" s="2" t="n">
        <v>45447</v>
      </c>
      <c r="C257" t="inlineStr">
        <is>
          <t>Fundación Horizonte</t>
        </is>
      </c>
      <c r="D257" t="inlineStr">
        <is>
          <t>Legal</t>
        </is>
      </c>
      <c r="E257" t="inlineStr">
        <is>
          <t>Chile</t>
        </is>
      </c>
      <c r="F257" t="inlineStr">
        <is>
          <t>Anuncios prensa</t>
        </is>
      </c>
      <c r="G257" t="inlineStr">
        <is>
          <t>Soporte anual</t>
        </is>
      </c>
      <c r="H257" t="inlineStr">
        <is>
          <t>Microsite RRHH</t>
        </is>
      </c>
      <c r="I257" t="n">
        <v>25</v>
      </c>
      <c r="J257" s="5" t="n">
        <v>578.05</v>
      </c>
      <c r="K257" s="5">
        <f>ROUND(I257*J257,2)</f>
        <v/>
      </c>
      <c r="L257" s="3" t="n">
        <v>0.05</v>
      </c>
      <c r="M257" s="5">
        <f>ROUND(K257*(1-L257),2)</f>
        <v/>
      </c>
      <c r="N257" s="5" t="n">
        <v>4236.51</v>
      </c>
      <c r="O257" s="5">
        <f>ROUND(M257-N257,2)</f>
        <v/>
      </c>
      <c r="P257" t="inlineStr">
        <is>
          <t>Pendiente</t>
        </is>
      </c>
    </row>
    <row r="258">
      <c r="A258" t="inlineStr">
        <is>
          <t>ING-0257</t>
        </is>
      </c>
      <c r="B258" s="2" t="n">
        <v>45405</v>
      </c>
      <c r="C258" t="inlineStr">
        <is>
          <t>Legal360</t>
        </is>
      </c>
      <c r="D258" t="inlineStr">
        <is>
          <t>Industria</t>
        </is>
      </c>
      <c r="E258" t="inlineStr">
        <is>
          <t>Colombia</t>
        </is>
      </c>
      <c r="F258" t="inlineStr">
        <is>
          <t>Anuncios internet</t>
        </is>
      </c>
      <c r="G258" t="inlineStr">
        <is>
          <t>Retainer trimestral</t>
        </is>
      </c>
      <c r="H258" t="inlineStr">
        <is>
          <t>Microsite RRHH</t>
        </is>
      </c>
      <c r="I258" t="n">
        <v>17</v>
      </c>
      <c r="J258" s="5" t="n">
        <v>2413.27</v>
      </c>
      <c r="K258" s="5">
        <f>ROUND(I258*J258,2)</f>
        <v/>
      </c>
      <c r="L258" s="3" t="n">
        <v>0</v>
      </c>
      <c r="M258" s="5">
        <f>ROUND(K258*(1-L258),2)</f>
        <v/>
      </c>
      <c r="N258" s="5" t="n">
        <v>22435.09</v>
      </c>
      <c r="O258" s="5">
        <f>ROUND(M258-N258,2)</f>
        <v/>
      </c>
      <c r="P258" t="inlineStr">
        <is>
          <t>Pendiente</t>
        </is>
      </c>
    </row>
    <row r="259">
      <c r="A259" t="inlineStr">
        <is>
          <t>ING-0258</t>
        </is>
      </c>
      <c r="B259" s="2" t="n">
        <v>45652</v>
      </c>
      <c r="C259" t="inlineStr">
        <is>
          <t>TurisWorld</t>
        </is>
      </c>
      <c r="D259" t="inlineStr">
        <is>
          <t>Tecnología</t>
        </is>
      </c>
      <c r="E259" t="inlineStr">
        <is>
          <t>México</t>
        </is>
      </c>
      <c r="F259" t="inlineStr">
        <is>
          <t>Mantenimiento web</t>
        </is>
      </c>
      <c r="G259" t="inlineStr">
        <is>
          <t>Proyecto puntual</t>
        </is>
      </c>
      <c r="H259" t="inlineStr">
        <is>
          <t>Intranet comercial</t>
        </is>
      </c>
      <c r="I259" t="n">
        <v>6</v>
      </c>
      <c r="J259" s="5" t="n">
        <v>3945.47</v>
      </c>
      <c r="K259" s="5">
        <f>ROUND(I259*J259,2)</f>
        <v/>
      </c>
      <c r="L259" s="3" t="n">
        <v>0.08</v>
      </c>
      <c r="M259" s="5">
        <f>ROUND(K259*(1-L259),2)</f>
        <v/>
      </c>
      <c r="N259" s="5" t="n">
        <v>15942.68</v>
      </c>
      <c r="O259" s="5">
        <f>ROUND(M259-N259,2)</f>
        <v/>
      </c>
      <c r="P259" t="inlineStr">
        <is>
          <t>Emitida</t>
        </is>
      </c>
    </row>
    <row r="260">
      <c r="A260" t="inlineStr">
        <is>
          <t>ING-0259</t>
        </is>
      </c>
      <c r="B260" s="2" t="n">
        <v>45389</v>
      </c>
      <c r="C260" t="inlineStr">
        <is>
          <t>EducaPro</t>
        </is>
      </c>
      <c r="D260" t="inlineStr">
        <is>
          <t>Retail</t>
        </is>
      </c>
      <c r="E260" t="inlineStr">
        <is>
          <t>Portugal</t>
        </is>
      </c>
      <c r="F260" t="inlineStr">
        <is>
          <t>Publicación de noticias</t>
        </is>
      </c>
      <c r="G260" t="inlineStr">
        <is>
          <t>Soporte anual</t>
        </is>
      </c>
      <c r="H260" t="inlineStr">
        <is>
          <t>Sección noticias</t>
        </is>
      </c>
      <c r="I260" t="n">
        <v>108</v>
      </c>
      <c r="J260" s="5" t="n">
        <v>154.29</v>
      </c>
      <c r="K260" s="5">
        <f>ROUND(I260*J260,2)</f>
        <v/>
      </c>
      <c r="L260" s="3" t="n">
        <v>0.1</v>
      </c>
      <c r="M260" s="5">
        <f>ROUND(K260*(1-L260),2)</f>
        <v/>
      </c>
      <c r="N260" s="5" t="n">
        <v>9446.92</v>
      </c>
      <c r="O260" s="5">
        <f>ROUND(M260-N260,2)</f>
        <v/>
      </c>
      <c r="P260" t="inlineStr">
        <is>
          <t>Emitida</t>
        </is>
      </c>
    </row>
    <row r="261">
      <c r="A261" t="inlineStr">
        <is>
          <t>ING-0260</t>
        </is>
      </c>
      <c r="B261" s="2" t="n">
        <v>45745</v>
      </c>
      <c r="C261" t="inlineStr">
        <is>
          <t>EducaPro</t>
        </is>
      </c>
      <c r="D261" t="inlineStr">
        <is>
          <t>Legal</t>
        </is>
      </c>
      <c r="E261" t="inlineStr">
        <is>
          <t>Portugal</t>
        </is>
      </c>
      <c r="F261" t="inlineStr">
        <is>
          <t>Generación de noticias</t>
        </is>
      </c>
      <c r="G261" t="inlineStr">
        <is>
          <t>Campaña</t>
        </is>
      </c>
      <c r="H261" t="inlineStr">
        <is>
          <t>Centro de prensa</t>
        </is>
      </c>
      <c r="I261" t="n">
        <v>16</v>
      </c>
      <c r="J261" s="5" t="n">
        <v>48.26</v>
      </c>
      <c r="K261" s="5">
        <f>ROUND(I261*J261,2)</f>
        <v/>
      </c>
      <c r="L261" s="3" t="n">
        <v>0.05</v>
      </c>
      <c r="M261" s="5">
        <f>ROUND(K261*(1-L261),2)</f>
        <v/>
      </c>
      <c r="N261" s="5" t="n">
        <v>438.16</v>
      </c>
      <c r="O261" s="5">
        <f>ROUND(M261-N261,2)</f>
        <v/>
      </c>
      <c r="P261" t="inlineStr">
        <is>
          <t>Emitida</t>
        </is>
      </c>
    </row>
    <row r="262">
      <c r="A262" t="inlineStr">
        <is>
          <t>ING-0261</t>
        </is>
      </c>
      <c r="B262" s="2" t="n">
        <v>45684</v>
      </c>
      <c r="C262" t="inlineStr">
        <is>
          <t>ClinicPoint</t>
        </is>
      </c>
      <c r="D262" t="inlineStr">
        <is>
          <t>Administración pública</t>
        </is>
      </c>
      <c r="E262" t="inlineStr">
        <is>
          <t>Chile</t>
        </is>
      </c>
      <c r="F262" t="inlineStr">
        <is>
          <t>Mantenimiento intranets</t>
        </is>
      </c>
      <c r="G262" t="inlineStr">
        <is>
          <t>Suscripción mensual</t>
        </is>
      </c>
      <c r="H262" t="inlineStr">
        <is>
          <t>Intranet operaciones</t>
        </is>
      </c>
      <c r="I262" t="n">
        <v>8</v>
      </c>
      <c r="J262" s="5" t="n">
        <v>2142.03</v>
      </c>
      <c r="K262" s="5">
        <f>ROUND(I262*J262,2)</f>
        <v/>
      </c>
      <c r="L262" s="3" t="n">
        <v>0</v>
      </c>
      <c r="M262" s="5">
        <f>ROUND(K262*(1-L262),2)</f>
        <v/>
      </c>
      <c r="N262" s="5" t="n">
        <v>8207.91</v>
      </c>
      <c r="O262" s="5">
        <f>ROUND(M262-N262,2)</f>
        <v/>
      </c>
      <c r="P262" t="inlineStr">
        <is>
          <t>Emitida</t>
        </is>
      </c>
    </row>
    <row r="263">
      <c r="A263" t="inlineStr">
        <is>
          <t>ING-0262</t>
        </is>
      </c>
      <c r="B263" s="2" t="n">
        <v>45477</v>
      </c>
      <c r="C263" t="inlineStr">
        <is>
          <t>Prensa Local 24</t>
        </is>
      </c>
      <c r="D263" t="inlineStr">
        <is>
          <t>Medios</t>
        </is>
      </c>
      <c r="E263" t="inlineStr">
        <is>
          <t>México</t>
        </is>
      </c>
      <c r="F263" t="inlineStr">
        <is>
          <t>Anuncios RRHH</t>
        </is>
      </c>
      <c r="G263" t="inlineStr">
        <is>
          <t>Campaña</t>
        </is>
      </c>
      <c r="H263" t="inlineStr">
        <is>
          <t>Sección noticias</t>
        </is>
      </c>
      <c r="I263" t="n">
        <v>16</v>
      </c>
      <c r="J263" s="5" t="n">
        <v>903.99</v>
      </c>
      <c r="K263" s="5">
        <f>ROUND(I263*J263,2)</f>
        <v/>
      </c>
      <c r="L263" s="3" t="n">
        <v>0.05</v>
      </c>
      <c r="M263" s="5">
        <f>ROUND(K263*(1-L263),2)</f>
        <v/>
      </c>
      <c r="N263" s="5" t="n">
        <v>8260.860000000001</v>
      </c>
      <c r="O263" s="5">
        <f>ROUND(M263-N263,2)</f>
        <v/>
      </c>
      <c r="P263" t="inlineStr">
        <is>
          <t>Emitida</t>
        </is>
      </c>
    </row>
    <row r="264">
      <c r="A264" t="inlineStr">
        <is>
          <t>ING-0263</t>
        </is>
      </c>
      <c r="B264" s="2" t="n">
        <v>45689</v>
      </c>
      <c r="C264" t="inlineStr">
        <is>
          <t>Campus One</t>
        </is>
      </c>
      <c r="D264" t="inlineStr">
        <is>
          <t>Administración pública</t>
        </is>
      </c>
      <c r="E264" t="inlineStr">
        <is>
          <t>Chile</t>
        </is>
      </c>
      <c r="F264" t="inlineStr">
        <is>
          <t>Mantenimiento web</t>
        </is>
      </c>
      <c r="G264" t="inlineStr">
        <is>
          <t>Proyecto puntual</t>
        </is>
      </c>
      <c r="H264" t="inlineStr">
        <is>
          <t>Intranet comercial</t>
        </is>
      </c>
      <c r="I264" t="n">
        <v>3</v>
      </c>
      <c r="J264" s="5" t="n">
        <v>3127</v>
      </c>
      <c r="K264" s="5">
        <f>ROUND(I264*J264,2)</f>
        <v/>
      </c>
      <c r="L264" s="3" t="n">
        <v>0.05</v>
      </c>
      <c r="M264" s="5">
        <f>ROUND(K264*(1-L264),2)</f>
        <v/>
      </c>
      <c r="N264" s="5" t="n">
        <v>4406.25</v>
      </c>
      <c r="O264" s="5">
        <f>ROUND(M264-N264,2)</f>
        <v/>
      </c>
      <c r="P264" t="inlineStr">
        <is>
          <t>Emitida</t>
        </is>
      </c>
    </row>
    <row r="265">
      <c r="A265" t="inlineStr">
        <is>
          <t>ING-0264</t>
        </is>
      </c>
      <c r="B265" s="2" t="n">
        <v>45532</v>
      </c>
      <c r="C265" t="inlineStr">
        <is>
          <t>TurisWorld</t>
        </is>
      </c>
      <c r="D265" t="inlineStr">
        <is>
          <t>Educación</t>
        </is>
      </c>
      <c r="E265" t="inlineStr">
        <is>
          <t>Colombia</t>
        </is>
      </c>
      <c r="F265" t="inlineStr">
        <is>
          <t>Anuncios TV</t>
        </is>
      </c>
      <c r="G265" t="inlineStr">
        <is>
          <t>Proyecto puntual</t>
        </is>
      </c>
      <c r="H265" t="inlineStr">
        <is>
          <t>Campaña empleo</t>
        </is>
      </c>
      <c r="I265" t="n">
        <v>24</v>
      </c>
      <c r="J265" s="5" t="n">
        <v>1182.91</v>
      </c>
      <c r="K265" s="5">
        <f>ROUND(I265*J265,2)</f>
        <v/>
      </c>
      <c r="L265" s="3" t="n">
        <v>0.05</v>
      </c>
      <c r="M265" s="5">
        <f>ROUND(K265*(1-L265),2)</f>
        <v/>
      </c>
      <c r="N265" s="5" t="n">
        <v>8573.73</v>
      </c>
      <c r="O265" s="5">
        <f>ROUND(M265-N265,2)</f>
        <v/>
      </c>
      <c r="P265" t="inlineStr">
        <is>
          <t>Pendiente</t>
        </is>
      </c>
    </row>
    <row r="266">
      <c r="A266" t="inlineStr">
        <is>
          <t>ING-0265</t>
        </is>
      </c>
      <c r="B266" s="2" t="n">
        <v>45458</v>
      </c>
      <c r="C266" t="inlineStr">
        <is>
          <t>TurisWorld</t>
        </is>
      </c>
      <c r="D266" t="inlineStr">
        <is>
          <t>Retail</t>
        </is>
      </c>
      <c r="E266" t="inlineStr">
        <is>
          <t>Portugal</t>
        </is>
      </c>
      <c r="F266" t="inlineStr">
        <is>
          <t>Mantenimiento intranets</t>
        </is>
      </c>
      <c r="G266" t="inlineStr">
        <is>
          <t>Soporte anual</t>
        </is>
      </c>
      <c r="H266" t="inlineStr">
        <is>
          <t>Campaña empleo</t>
        </is>
      </c>
      <c r="I266" t="n">
        <v>3</v>
      </c>
      <c r="J266" s="5" t="n">
        <v>4344.09</v>
      </c>
      <c r="K266" s="5">
        <f>ROUND(I266*J266,2)</f>
        <v/>
      </c>
      <c r="L266" s="3" t="n">
        <v>0.1</v>
      </c>
      <c r="M266" s="5">
        <f>ROUND(K266*(1-L266),2)</f>
        <v/>
      </c>
      <c r="N266" s="5" t="n">
        <v>8447.74</v>
      </c>
      <c r="O266" s="5">
        <f>ROUND(M266-N266,2)</f>
        <v/>
      </c>
      <c r="P266" t="inlineStr">
        <is>
          <t>Cobrada</t>
        </is>
      </c>
    </row>
    <row r="267">
      <c r="A267" t="inlineStr">
        <is>
          <t>ING-0266</t>
        </is>
      </c>
      <c r="B267" s="2" t="n">
        <v>45729</v>
      </c>
      <c r="C267" t="inlineStr">
        <is>
          <t>Retail Vision</t>
        </is>
      </c>
      <c r="D267" t="inlineStr">
        <is>
          <t>Educación</t>
        </is>
      </c>
      <c r="E267" t="inlineStr">
        <is>
          <t>México</t>
        </is>
      </c>
      <c r="F267" t="inlineStr">
        <is>
          <t>Publicación de noticias</t>
        </is>
      </c>
      <c r="G267" t="inlineStr">
        <is>
          <t>Proyecto puntual</t>
        </is>
      </c>
      <c r="H267" t="inlineStr">
        <is>
          <t>Sección noticias</t>
        </is>
      </c>
      <c r="I267" t="n">
        <v>98</v>
      </c>
      <c r="J267" s="5" t="n">
        <v>99.79000000000001</v>
      </c>
      <c r="K267" s="5">
        <f>ROUND(I267*J267,2)</f>
        <v/>
      </c>
      <c r="L267" s="3" t="n">
        <v>0</v>
      </c>
      <c r="M267" s="5">
        <f>ROUND(K267*(1-L267),2)</f>
        <v/>
      </c>
      <c r="N267" s="5" t="n">
        <v>3819.9</v>
      </c>
      <c r="O267" s="5">
        <f>ROUND(M267-N267,2)</f>
        <v/>
      </c>
      <c r="P267" t="inlineStr">
        <is>
          <t>Emitida</t>
        </is>
      </c>
    </row>
    <row r="268">
      <c r="A268" t="inlineStr">
        <is>
          <t>ING-0267</t>
        </is>
      </c>
      <c r="B268" s="2" t="n">
        <v>45730</v>
      </c>
      <c r="C268" t="inlineStr">
        <is>
          <t>Prensa Local 24</t>
        </is>
      </c>
      <c r="D268" t="inlineStr">
        <is>
          <t>Finanzas</t>
        </is>
      </c>
      <c r="E268" t="inlineStr">
        <is>
          <t>México</t>
        </is>
      </c>
      <c r="F268" t="inlineStr">
        <is>
          <t>Anuncios RRHH</t>
        </is>
      </c>
      <c r="G268" t="inlineStr">
        <is>
          <t>Soporte anual</t>
        </is>
      </c>
      <c r="H268" t="inlineStr">
        <is>
          <t>Centro de prensa</t>
        </is>
      </c>
      <c r="I268" t="n">
        <v>24</v>
      </c>
      <c r="J268" s="5" t="n">
        <v>2415.76</v>
      </c>
      <c r="K268" s="5">
        <f>ROUND(I268*J268,2)</f>
        <v/>
      </c>
      <c r="L268" s="3" t="n">
        <v>0.03</v>
      </c>
      <c r="M268" s="5">
        <f>ROUND(K268*(1-L268),2)</f>
        <v/>
      </c>
      <c r="N268" s="5" t="n">
        <v>34173.55</v>
      </c>
      <c r="O268" s="5">
        <f>ROUND(M268-N268,2)</f>
        <v/>
      </c>
      <c r="P268" t="inlineStr">
        <is>
          <t>Cobrada</t>
        </is>
      </c>
    </row>
    <row r="269">
      <c r="A269" t="inlineStr">
        <is>
          <t>ING-0268</t>
        </is>
      </c>
      <c r="B269" s="2" t="n">
        <v>45743</v>
      </c>
      <c r="C269" t="inlineStr">
        <is>
          <t>ClinicPoint</t>
        </is>
      </c>
      <c r="D269" t="inlineStr">
        <is>
          <t>Finanzas</t>
        </is>
      </c>
      <c r="E269" t="inlineStr">
        <is>
          <t>Portugal</t>
        </is>
      </c>
      <c r="F269" t="inlineStr">
        <is>
          <t>Traducciones</t>
        </is>
      </c>
      <c r="G269" t="inlineStr">
        <is>
          <t>Campaña</t>
        </is>
      </c>
      <c r="H269" t="inlineStr">
        <is>
          <t>Centro de prensa</t>
        </is>
      </c>
      <c r="I269" t="n">
        <v>97</v>
      </c>
      <c r="J269" s="5" t="n">
        <v>130.24</v>
      </c>
      <c r="K269" s="5">
        <f>ROUND(I269*J269,2)</f>
        <v/>
      </c>
      <c r="L269" s="3" t="n">
        <v>0</v>
      </c>
      <c r="M269" s="5">
        <f>ROUND(K269*(1-L269),2)</f>
        <v/>
      </c>
      <c r="N269" s="5" t="n">
        <v>7162.83</v>
      </c>
      <c r="O269" s="5">
        <f>ROUND(M269-N269,2)</f>
        <v/>
      </c>
      <c r="P269" t="inlineStr">
        <is>
          <t>Emitida</t>
        </is>
      </c>
    </row>
    <row r="270">
      <c r="A270" t="inlineStr">
        <is>
          <t>ING-0269</t>
        </is>
      </c>
      <c r="B270" s="2" t="n">
        <v>45688</v>
      </c>
      <c r="C270" t="inlineStr">
        <is>
          <t>ClinicPoint</t>
        </is>
      </c>
      <c r="D270" t="inlineStr">
        <is>
          <t>Logística</t>
        </is>
      </c>
      <c r="E270" t="inlineStr">
        <is>
          <t>España</t>
        </is>
      </c>
      <c r="F270" t="inlineStr">
        <is>
          <t>Anuncios RRHH</t>
        </is>
      </c>
      <c r="G270" t="inlineStr">
        <is>
          <t>Proyecto puntual</t>
        </is>
      </c>
      <c r="H270" t="inlineStr">
        <is>
          <t>Intranet operaciones</t>
        </is>
      </c>
      <c r="I270" t="n">
        <v>29</v>
      </c>
      <c r="J270" s="5" t="n">
        <v>746.66</v>
      </c>
      <c r="K270" s="5">
        <f>ROUND(I270*J270,2)</f>
        <v/>
      </c>
      <c r="L270" s="3" t="n">
        <v>0.08</v>
      </c>
      <c r="M270" s="5">
        <f>ROUND(K270*(1-L270),2)</f>
        <v/>
      </c>
      <c r="N270" s="5" t="n">
        <v>12962.12</v>
      </c>
      <c r="O270" s="5">
        <f>ROUND(M270-N270,2)</f>
        <v/>
      </c>
      <c r="P270" t="inlineStr">
        <is>
          <t>Pendiente</t>
        </is>
      </c>
    </row>
    <row r="271">
      <c r="A271" t="inlineStr">
        <is>
          <t>ING-0270</t>
        </is>
      </c>
      <c r="B271" s="2" t="n">
        <v>45374</v>
      </c>
      <c r="C271" t="inlineStr">
        <is>
          <t>Nova Salud</t>
        </is>
      </c>
      <c r="D271" t="inlineStr">
        <is>
          <t>Tecnología</t>
        </is>
      </c>
      <c r="E271" t="inlineStr">
        <is>
          <t>Portugal</t>
        </is>
      </c>
      <c r="F271" t="inlineStr">
        <is>
          <t>Anuncios internet</t>
        </is>
      </c>
      <c r="G271" t="inlineStr">
        <is>
          <t>Soporte anual</t>
        </is>
      </c>
      <c r="H271" t="inlineStr">
        <is>
          <t>Intranet operaciones</t>
        </is>
      </c>
      <c r="I271" t="n">
        <v>7</v>
      </c>
      <c r="J271" s="5" t="n">
        <v>1491.95</v>
      </c>
      <c r="K271" s="5">
        <f>ROUND(I271*J271,2)</f>
        <v/>
      </c>
      <c r="L271" s="3" t="n">
        <v>0.08</v>
      </c>
      <c r="M271" s="5">
        <f>ROUND(K271*(1-L271),2)</f>
        <v/>
      </c>
      <c r="N271" s="5" t="n">
        <v>4587.49</v>
      </c>
      <c r="O271" s="5">
        <f>ROUND(M271-N271,2)</f>
        <v/>
      </c>
      <c r="P271" t="inlineStr">
        <is>
          <t>Cobrada</t>
        </is>
      </c>
    </row>
    <row r="272">
      <c r="A272" t="inlineStr">
        <is>
          <t>ING-0271</t>
        </is>
      </c>
      <c r="B272" s="2" t="n">
        <v>45362</v>
      </c>
      <c r="C272" t="inlineStr">
        <is>
          <t>Retail Vision</t>
        </is>
      </c>
      <c r="D272" t="inlineStr">
        <is>
          <t>Legal</t>
        </is>
      </c>
      <c r="E272" t="inlineStr">
        <is>
          <t>Chile</t>
        </is>
      </c>
      <c r="F272" t="inlineStr">
        <is>
          <t>Traducciones</t>
        </is>
      </c>
      <c r="G272" t="inlineStr">
        <is>
          <t>Proyecto puntual</t>
        </is>
      </c>
      <c r="H272" t="inlineStr">
        <is>
          <t>Sección noticias</t>
        </is>
      </c>
      <c r="I272" t="n">
        <v>67</v>
      </c>
      <c r="J272" s="5" t="n">
        <v>139.11</v>
      </c>
      <c r="K272" s="5">
        <f>ROUND(I272*J272,2)</f>
        <v/>
      </c>
      <c r="L272" s="3" t="n">
        <v>0</v>
      </c>
      <c r="M272" s="5">
        <f>ROUND(K272*(1-L272),2)</f>
        <v/>
      </c>
      <c r="N272" s="5" t="n">
        <v>5606.38</v>
      </c>
      <c r="O272" s="5">
        <f>ROUND(M272-N272,2)</f>
        <v/>
      </c>
      <c r="P272" t="inlineStr">
        <is>
          <t>Emitida</t>
        </is>
      </c>
    </row>
    <row r="273">
      <c r="A273" t="inlineStr">
        <is>
          <t>ING-0272</t>
        </is>
      </c>
      <c r="B273" s="2" t="n">
        <v>45663</v>
      </c>
      <c r="C273" t="inlineStr">
        <is>
          <t>Nova Salud</t>
        </is>
      </c>
      <c r="D273" t="inlineStr">
        <is>
          <t>Legal</t>
        </is>
      </c>
      <c r="E273" t="inlineStr">
        <is>
          <t>Portugal</t>
        </is>
      </c>
      <c r="F273" t="inlineStr">
        <is>
          <t>Traducciones</t>
        </is>
      </c>
      <c r="G273" t="inlineStr">
        <is>
          <t>Proyecto puntual</t>
        </is>
      </c>
      <c r="H273" t="inlineStr">
        <is>
          <t>Portal corporativo</t>
        </is>
      </c>
      <c r="I273" t="n">
        <v>106</v>
      </c>
      <c r="J273" s="5" t="n">
        <v>91</v>
      </c>
      <c r="K273" s="5">
        <f>ROUND(I273*J273,2)</f>
        <v/>
      </c>
      <c r="L273" s="3" t="n">
        <v>0</v>
      </c>
      <c r="M273" s="5">
        <f>ROUND(K273*(1-L273),2)</f>
        <v/>
      </c>
      <c r="N273" s="5" t="n">
        <v>5436.25</v>
      </c>
      <c r="O273" s="5">
        <f>ROUND(M273-N273,2)</f>
        <v/>
      </c>
      <c r="P273" t="inlineStr">
        <is>
          <t>Cobrada</t>
        </is>
      </c>
    </row>
    <row r="274">
      <c r="A274" t="inlineStr">
        <is>
          <t>ING-0273</t>
        </is>
      </c>
      <c r="B274" s="2" t="n">
        <v>45530</v>
      </c>
      <c r="C274" t="inlineStr">
        <is>
          <t>TalentHub</t>
        </is>
      </c>
      <c r="D274" t="inlineStr">
        <is>
          <t>Legal</t>
        </is>
      </c>
      <c r="E274" t="inlineStr">
        <is>
          <t>Chile</t>
        </is>
      </c>
      <c r="F274" t="inlineStr">
        <is>
          <t>Anuncios TV</t>
        </is>
      </c>
      <c r="G274" t="inlineStr">
        <is>
          <t>Soporte anual</t>
        </is>
      </c>
      <c r="H274" t="inlineStr">
        <is>
          <t>Intranet operaciones</t>
        </is>
      </c>
      <c r="I274" t="n">
        <v>21</v>
      </c>
      <c r="J274" s="5" t="n">
        <v>2055.46</v>
      </c>
      <c r="K274" s="5">
        <f>ROUND(I274*J274,2)</f>
        <v/>
      </c>
      <c r="L274" s="3" t="n">
        <v>0.03</v>
      </c>
      <c r="M274" s="5">
        <f>ROUND(K274*(1-L274),2)</f>
        <v/>
      </c>
      <c r="N274" s="5" t="n">
        <v>23524.11</v>
      </c>
      <c r="O274" s="5">
        <f>ROUND(M274-N274,2)</f>
        <v/>
      </c>
      <c r="P274" t="inlineStr">
        <is>
          <t>Pendiente</t>
        </is>
      </c>
    </row>
    <row r="275">
      <c r="A275" t="inlineStr">
        <is>
          <t>ING-0274</t>
        </is>
      </c>
      <c r="B275" s="2" t="n">
        <v>45493</v>
      </c>
      <c r="C275" t="inlineStr">
        <is>
          <t>Nova Salud</t>
        </is>
      </c>
      <c r="D275" t="inlineStr">
        <is>
          <t>Salud</t>
        </is>
      </c>
      <c r="E275" t="inlineStr">
        <is>
          <t>Portugal</t>
        </is>
      </c>
      <c r="F275" t="inlineStr">
        <is>
          <t>Mantenimiento intranets</t>
        </is>
      </c>
      <c r="G275" t="inlineStr">
        <is>
          <t>Suscripción mensual</t>
        </is>
      </c>
      <c r="H275" t="inlineStr">
        <is>
          <t>Centro de prensa</t>
        </is>
      </c>
      <c r="I275" t="n">
        <v>6</v>
      </c>
      <c r="J275" s="5" t="n">
        <v>1564.76</v>
      </c>
      <c r="K275" s="5">
        <f>ROUND(I275*J275,2)</f>
        <v/>
      </c>
      <c r="L275" s="3" t="n">
        <v>0.03</v>
      </c>
      <c r="M275" s="5">
        <f>ROUND(K275*(1-L275),2)</f>
        <v/>
      </c>
      <c r="N275" s="5" t="n">
        <v>4920.49</v>
      </c>
      <c r="O275" s="5">
        <f>ROUND(M275-N275,2)</f>
        <v/>
      </c>
      <c r="P275" t="inlineStr">
        <is>
          <t>Emitida</t>
        </is>
      </c>
    </row>
    <row r="276">
      <c r="A276" t="inlineStr">
        <is>
          <t>ING-0275</t>
        </is>
      </c>
      <c r="B276" s="2" t="n">
        <v>45456</v>
      </c>
      <c r="C276" t="inlineStr">
        <is>
          <t>Innova Retail</t>
        </is>
      </c>
      <c r="D276" t="inlineStr">
        <is>
          <t>Industria</t>
        </is>
      </c>
      <c r="E276" t="inlineStr">
        <is>
          <t>España</t>
        </is>
      </c>
      <c r="F276" t="inlineStr">
        <is>
          <t>Anuncios prensa</t>
        </is>
      </c>
      <c r="G276" t="inlineStr">
        <is>
          <t>Retainer trimestral</t>
        </is>
      </c>
      <c r="H276" t="inlineStr">
        <is>
          <t>Sección noticias</t>
        </is>
      </c>
      <c r="I276" t="n">
        <v>28</v>
      </c>
      <c r="J276" s="5" t="n">
        <v>1495.76</v>
      </c>
      <c r="K276" s="5">
        <f>ROUND(I276*J276,2)</f>
        <v/>
      </c>
      <c r="L276" s="3" t="n">
        <v>0</v>
      </c>
      <c r="M276" s="5">
        <f>ROUND(K276*(1-L276),2)</f>
        <v/>
      </c>
      <c r="N276" s="5" t="n">
        <v>24773.99</v>
      </c>
      <c r="O276" s="5">
        <f>ROUND(M276-N276,2)</f>
        <v/>
      </c>
      <c r="P276" t="inlineStr">
        <is>
          <t>Pendiente</t>
        </is>
      </c>
    </row>
    <row r="277">
      <c r="A277" t="inlineStr">
        <is>
          <t>ING-0276</t>
        </is>
      </c>
      <c r="B277" s="2" t="n">
        <v>45690</v>
      </c>
      <c r="C277" t="inlineStr">
        <is>
          <t>Retail Vision</t>
        </is>
      </c>
      <c r="D277" t="inlineStr">
        <is>
          <t>RRHH</t>
        </is>
      </c>
      <c r="E277" t="inlineStr">
        <is>
          <t>México</t>
        </is>
      </c>
      <c r="F277" t="inlineStr">
        <is>
          <t>Traducciones</t>
        </is>
      </c>
      <c r="G277" t="inlineStr">
        <is>
          <t>Suscripción mensual</t>
        </is>
      </c>
      <c r="H277" t="inlineStr">
        <is>
          <t>Intranet comercial</t>
        </is>
      </c>
      <c r="I277" t="n">
        <v>104</v>
      </c>
      <c r="J277" s="5" t="n">
        <v>60.89</v>
      </c>
      <c r="K277" s="5">
        <f>ROUND(I277*J277,2)</f>
        <v/>
      </c>
      <c r="L277" s="3" t="n">
        <v>0.03</v>
      </c>
      <c r="M277" s="5">
        <f>ROUND(K277*(1-L277),2)</f>
        <v/>
      </c>
      <c r="N277" s="5" t="n">
        <v>3154.83</v>
      </c>
      <c r="O277" s="5">
        <f>ROUND(M277-N277,2)</f>
        <v/>
      </c>
      <c r="P277" t="inlineStr">
        <is>
          <t>Emitida</t>
        </is>
      </c>
    </row>
    <row r="278">
      <c r="A278" t="inlineStr">
        <is>
          <t>ING-0277</t>
        </is>
      </c>
      <c r="B278" s="2" t="n">
        <v>45321</v>
      </c>
      <c r="C278" t="inlineStr">
        <is>
          <t>Smart Factory</t>
        </is>
      </c>
      <c r="D278" t="inlineStr">
        <is>
          <t>Finanzas</t>
        </is>
      </c>
      <c r="E278" t="inlineStr">
        <is>
          <t>España</t>
        </is>
      </c>
      <c r="F278" t="inlineStr">
        <is>
          <t>Anuncios internet</t>
        </is>
      </c>
      <c r="G278" t="inlineStr">
        <is>
          <t>Soporte anual</t>
        </is>
      </c>
      <c r="H278" t="inlineStr">
        <is>
          <t>Microsite RRHH</t>
        </is>
      </c>
      <c r="I278" t="n">
        <v>22</v>
      </c>
      <c r="J278" s="5" t="n">
        <v>2189.46</v>
      </c>
      <c r="K278" s="5">
        <f>ROUND(I278*J278,2)</f>
        <v/>
      </c>
      <c r="L278" s="3" t="n">
        <v>0.05</v>
      </c>
      <c r="M278" s="5">
        <f>ROUND(K278*(1-L278),2)</f>
        <v/>
      </c>
      <c r="N278" s="5" t="n">
        <v>22633.94</v>
      </c>
      <c r="O278" s="5">
        <f>ROUND(M278-N278,2)</f>
        <v/>
      </c>
      <c r="P278" t="inlineStr">
        <is>
          <t>Emitida</t>
        </is>
      </c>
    </row>
    <row r="279">
      <c r="A279" t="inlineStr">
        <is>
          <t>ING-0278</t>
        </is>
      </c>
      <c r="B279" s="2" t="n">
        <v>45366</v>
      </c>
      <c r="C279" t="inlineStr">
        <is>
          <t>EcoLogística</t>
        </is>
      </c>
      <c r="D279" t="inlineStr">
        <is>
          <t>Salud</t>
        </is>
      </c>
      <c r="E279" t="inlineStr">
        <is>
          <t>Portugal</t>
        </is>
      </c>
      <c r="F279" t="inlineStr">
        <is>
          <t>Mantenimiento intranets</t>
        </is>
      </c>
      <c r="G279" t="inlineStr">
        <is>
          <t>Proyecto puntual</t>
        </is>
      </c>
      <c r="H279" t="inlineStr">
        <is>
          <t>Intranet comercial</t>
        </is>
      </c>
      <c r="I279" t="n">
        <v>8</v>
      </c>
      <c r="J279" s="5" t="n">
        <v>1234.55</v>
      </c>
      <c r="K279" s="5">
        <f>ROUND(I279*J279,2)</f>
        <v/>
      </c>
      <c r="L279" s="3" t="n">
        <v>0</v>
      </c>
      <c r="M279" s="5">
        <f>ROUND(K279*(1-L279),2)</f>
        <v/>
      </c>
      <c r="N279" s="5" t="n">
        <v>6577.54</v>
      </c>
      <c r="O279" s="5">
        <f>ROUND(M279-N279,2)</f>
        <v/>
      </c>
      <c r="P279" t="inlineStr">
        <is>
          <t>Emitida</t>
        </is>
      </c>
    </row>
    <row r="280">
      <c r="A280" t="inlineStr">
        <is>
          <t>ING-0279</t>
        </is>
      </c>
      <c r="B280" s="2" t="n">
        <v>45319</v>
      </c>
      <c r="C280" t="inlineStr">
        <is>
          <t>Innova Retail</t>
        </is>
      </c>
      <c r="D280" t="inlineStr">
        <is>
          <t>Logística</t>
        </is>
      </c>
      <c r="E280" t="inlineStr">
        <is>
          <t>España</t>
        </is>
      </c>
      <c r="F280" t="inlineStr">
        <is>
          <t>Traducciones</t>
        </is>
      </c>
      <c r="G280" t="inlineStr">
        <is>
          <t>Suscripción mensual</t>
        </is>
      </c>
      <c r="H280" t="inlineStr">
        <is>
          <t>Intranet comercial</t>
        </is>
      </c>
      <c r="I280" t="n">
        <v>57</v>
      </c>
      <c r="J280" s="5" t="n">
        <v>105.32</v>
      </c>
      <c r="K280" s="5">
        <f>ROUND(I280*J280,2)</f>
        <v/>
      </c>
      <c r="L280" s="3" t="n">
        <v>0.05</v>
      </c>
      <c r="M280" s="5">
        <f>ROUND(K280*(1-L280),2)</f>
        <v/>
      </c>
      <c r="N280" s="5" t="n">
        <v>3204.92</v>
      </c>
      <c r="O280" s="5">
        <f>ROUND(M280-N280,2)</f>
        <v/>
      </c>
      <c r="P280" t="inlineStr">
        <is>
          <t>Cobrada</t>
        </is>
      </c>
    </row>
    <row r="281">
      <c r="A281" t="inlineStr">
        <is>
          <t>ING-0280</t>
        </is>
      </c>
      <c r="B281" s="2" t="n">
        <v>45308</v>
      </c>
      <c r="C281" t="inlineStr">
        <is>
          <t>Campus One</t>
        </is>
      </c>
      <c r="D281" t="inlineStr">
        <is>
          <t>Retail</t>
        </is>
      </c>
      <c r="E281" t="inlineStr">
        <is>
          <t>México</t>
        </is>
      </c>
      <c r="F281" t="inlineStr">
        <is>
          <t>Traducciones</t>
        </is>
      </c>
      <c r="G281" t="inlineStr">
        <is>
          <t>Soporte anual</t>
        </is>
      </c>
      <c r="H281" t="inlineStr">
        <is>
          <t>Intranet operaciones</t>
        </is>
      </c>
      <c r="I281" t="n">
        <v>28</v>
      </c>
      <c r="J281" s="5" t="n">
        <v>45.86</v>
      </c>
      <c r="K281" s="5">
        <f>ROUND(I281*J281,2)</f>
        <v/>
      </c>
      <c r="L281" s="3" t="n">
        <v>0</v>
      </c>
      <c r="M281" s="5">
        <f>ROUND(K281*(1-L281),2)</f>
        <v/>
      </c>
      <c r="N281" s="5" t="n">
        <v>661.97</v>
      </c>
      <c r="O281" s="5">
        <f>ROUND(M281-N281,2)</f>
        <v/>
      </c>
      <c r="P281" t="inlineStr">
        <is>
          <t>Emitida</t>
        </is>
      </c>
    </row>
    <row r="282">
      <c r="A282" t="inlineStr">
        <is>
          <t>ING-0281</t>
        </is>
      </c>
      <c r="B282" s="2" t="n">
        <v>45464</v>
      </c>
      <c r="C282" t="inlineStr">
        <is>
          <t>TechSphere</t>
        </is>
      </c>
      <c r="D282" t="inlineStr">
        <is>
          <t>Legal</t>
        </is>
      </c>
      <c r="E282" t="inlineStr">
        <is>
          <t>España</t>
        </is>
      </c>
      <c r="F282" t="inlineStr">
        <is>
          <t>Mantenimiento intranets</t>
        </is>
      </c>
      <c r="G282" t="inlineStr">
        <is>
          <t>Proyecto puntual</t>
        </is>
      </c>
      <c r="H282" t="inlineStr">
        <is>
          <t>Intranet operaciones</t>
        </is>
      </c>
      <c r="I282" t="n">
        <v>5</v>
      </c>
      <c r="J282" s="5" t="n">
        <v>2958.78</v>
      </c>
      <c r="K282" s="5">
        <f>ROUND(I282*J282,2)</f>
        <v/>
      </c>
      <c r="L282" s="3" t="n">
        <v>0.1</v>
      </c>
      <c r="M282" s="5">
        <f>ROUND(K282*(1-L282),2)</f>
        <v/>
      </c>
      <c r="N282" s="5" t="n">
        <v>6443.09</v>
      </c>
      <c r="O282" s="5">
        <f>ROUND(M282-N282,2)</f>
        <v/>
      </c>
      <c r="P282" t="inlineStr">
        <is>
          <t>Pendiente</t>
        </is>
      </c>
    </row>
    <row r="283">
      <c r="A283" t="inlineStr">
        <is>
          <t>ING-0282</t>
        </is>
      </c>
      <c r="B283" s="2" t="n">
        <v>45382</v>
      </c>
      <c r="C283" t="inlineStr">
        <is>
          <t>Innova Retail</t>
        </is>
      </c>
      <c r="D283" t="inlineStr">
        <is>
          <t>Educación</t>
        </is>
      </c>
      <c r="E283" t="inlineStr">
        <is>
          <t>México</t>
        </is>
      </c>
      <c r="F283" t="inlineStr">
        <is>
          <t>Generación de noticias</t>
        </is>
      </c>
      <c r="G283" t="inlineStr">
        <is>
          <t>Suscripción mensual</t>
        </is>
      </c>
      <c r="H283" t="inlineStr">
        <is>
          <t>Microsite RRHH</t>
        </is>
      </c>
      <c r="I283" t="n">
        <v>18</v>
      </c>
      <c r="J283" s="5" t="n">
        <v>60.95</v>
      </c>
      <c r="K283" s="5">
        <f>ROUND(I283*J283,2)</f>
        <v/>
      </c>
      <c r="L283" s="3" t="n">
        <v>0.1</v>
      </c>
      <c r="M283" s="5">
        <f>ROUND(K283*(1-L283),2)</f>
        <v/>
      </c>
      <c r="N283" s="5" t="n">
        <v>644.59</v>
      </c>
      <c r="O283" s="5">
        <f>ROUND(M283-N283,2)</f>
        <v/>
      </c>
      <c r="P283" t="inlineStr">
        <is>
          <t>Pendiente</t>
        </is>
      </c>
    </row>
    <row r="284">
      <c r="A284" t="inlineStr">
        <is>
          <t>ING-0283</t>
        </is>
      </c>
      <c r="B284" s="2" t="n">
        <v>45360</v>
      </c>
      <c r="C284" t="inlineStr">
        <is>
          <t>FinanData</t>
        </is>
      </c>
      <c r="D284" t="inlineStr">
        <is>
          <t>Logística</t>
        </is>
      </c>
      <c r="E284" t="inlineStr">
        <is>
          <t>México</t>
        </is>
      </c>
      <c r="F284" t="inlineStr">
        <is>
          <t>Publicación de noticias</t>
        </is>
      </c>
      <c r="G284" t="inlineStr">
        <is>
          <t>Campaña</t>
        </is>
      </c>
      <c r="H284" t="inlineStr">
        <is>
          <t>Sección noticias</t>
        </is>
      </c>
      <c r="I284" t="n">
        <v>115</v>
      </c>
      <c r="J284" s="5" t="n">
        <v>41.22</v>
      </c>
      <c r="K284" s="5">
        <f>ROUND(I284*J284,2)</f>
        <v/>
      </c>
      <c r="L284" s="3" t="n">
        <v>0</v>
      </c>
      <c r="M284" s="5">
        <f>ROUND(K284*(1-L284),2)</f>
        <v/>
      </c>
      <c r="N284" s="5" t="n">
        <v>2540.65</v>
      </c>
      <c r="O284" s="5">
        <f>ROUND(M284-N284,2)</f>
        <v/>
      </c>
      <c r="P284" t="inlineStr">
        <is>
          <t>Pendiente</t>
        </is>
      </c>
    </row>
    <row r="285">
      <c r="A285" t="inlineStr">
        <is>
          <t>ING-0284</t>
        </is>
      </c>
      <c r="B285" s="2" t="n">
        <v>45325</v>
      </c>
      <c r="C285" t="inlineStr">
        <is>
          <t>Grupo Atlas</t>
        </is>
      </c>
      <c r="D285" t="inlineStr">
        <is>
          <t>Finanzas</t>
        </is>
      </c>
      <c r="E285" t="inlineStr">
        <is>
          <t>Chile</t>
        </is>
      </c>
      <c r="F285" t="inlineStr">
        <is>
          <t>Mantenimiento intranets</t>
        </is>
      </c>
      <c r="G285" t="inlineStr">
        <is>
          <t>Soporte anual</t>
        </is>
      </c>
      <c r="H285" t="inlineStr">
        <is>
          <t>Portal internacional</t>
        </is>
      </c>
      <c r="I285" t="n">
        <v>6</v>
      </c>
      <c r="J285" s="5" t="n">
        <v>3497.67</v>
      </c>
      <c r="K285" s="5">
        <f>ROUND(I285*J285,2)</f>
        <v/>
      </c>
      <c r="L285" s="3" t="n">
        <v>0</v>
      </c>
      <c r="M285" s="5">
        <f>ROUND(K285*(1-L285),2)</f>
        <v/>
      </c>
      <c r="N285" s="5" t="n">
        <v>12823.45</v>
      </c>
      <c r="O285" s="5">
        <f>ROUND(M285-N285,2)</f>
        <v/>
      </c>
      <c r="P285" t="inlineStr">
        <is>
          <t>Pendiente</t>
        </is>
      </c>
    </row>
    <row r="286">
      <c r="A286" t="inlineStr">
        <is>
          <t>ING-0285</t>
        </is>
      </c>
      <c r="B286" s="2" t="n">
        <v>45352</v>
      </c>
      <c r="C286" t="inlineStr">
        <is>
          <t>FinanData</t>
        </is>
      </c>
      <c r="D286" t="inlineStr">
        <is>
          <t>Turismo</t>
        </is>
      </c>
      <c r="E286" t="inlineStr">
        <is>
          <t>Portugal</t>
        </is>
      </c>
      <c r="F286" t="inlineStr">
        <is>
          <t>Anuncios internet</t>
        </is>
      </c>
      <c r="G286" t="inlineStr">
        <is>
          <t>Campaña</t>
        </is>
      </c>
      <c r="H286" t="inlineStr">
        <is>
          <t>Portal internacional</t>
        </is>
      </c>
      <c r="I286" t="n">
        <v>26</v>
      </c>
      <c r="J286" s="5" t="n">
        <v>378.34</v>
      </c>
      <c r="K286" s="5">
        <f>ROUND(I286*J286,2)</f>
        <v/>
      </c>
      <c r="L286" s="3" t="n">
        <v>0.08</v>
      </c>
      <c r="M286" s="5">
        <f>ROUND(K286*(1-L286),2)</f>
        <v/>
      </c>
      <c r="N286" s="5" t="n">
        <v>6557.53</v>
      </c>
      <c r="O286" s="5">
        <f>ROUND(M286-N286,2)</f>
        <v/>
      </c>
      <c r="P286" t="inlineStr">
        <is>
          <t>Cobrada</t>
        </is>
      </c>
    </row>
    <row r="287">
      <c r="A287" t="inlineStr">
        <is>
          <t>ING-0286</t>
        </is>
      </c>
      <c r="B287" s="2" t="n">
        <v>45400</v>
      </c>
      <c r="C287" t="inlineStr">
        <is>
          <t>Grupo Atlas</t>
        </is>
      </c>
      <c r="D287" t="inlineStr">
        <is>
          <t>Turismo</t>
        </is>
      </c>
      <c r="E287" t="inlineStr">
        <is>
          <t>España</t>
        </is>
      </c>
      <c r="F287" t="inlineStr">
        <is>
          <t>Anuncios TV</t>
        </is>
      </c>
      <c r="G287" t="inlineStr">
        <is>
          <t>Proyecto puntual</t>
        </is>
      </c>
      <c r="H287" t="inlineStr">
        <is>
          <t>Portal corporativo</t>
        </is>
      </c>
      <c r="I287" t="n">
        <v>14</v>
      </c>
      <c r="J287" s="5" t="n">
        <v>871.3200000000001</v>
      </c>
      <c r="K287" s="5">
        <f>ROUND(I287*J287,2)</f>
        <v/>
      </c>
      <c r="L287" s="3" t="n">
        <v>0</v>
      </c>
      <c r="M287" s="5">
        <f>ROUND(K287*(1-L287),2)</f>
        <v/>
      </c>
      <c r="N287" s="5" t="n">
        <v>7896.44</v>
      </c>
      <c r="O287" s="5">
        <f>ROUND(M287-N287,2)</f>
        <v/>
      </c>
      <c r="P287" t="inlineStr">
        <is>
          <t>Cobrada</t>
        </is>
      </c>
    </row>
    <row r="288">
      <c r="A288" t="inlineStr">
        <is>
          <t>ING-0287</t>
        </is>
      </c>
      <c r="B288" s="2" t="n">
        <v>45410</v>
      </c>
      <c r="C288" t="inlineStr">
        <is>
          <t>Prensa Local 24</t>
        </is>
      </c>
      <c r="D288" t="inlineStr">
        <is>
          <t>Industria</t>
        </is>
      </c>
      <c r="E288" t="inlineStr">
        <is>
          <t>México</t>
        </is>
      </c>
      <c r="F288" t="inlineStr">
        <is>
          <t>Mantenimiento web</t>
        </is>
      </c>
      <c r="G288" t="inlineStr">
        <is>
          <t>Suscripción mensual</t>
        </is>
      </c>
      <c r="H288" t="inlineStr">
        <is>
          <t>Sección noticias</t>
        </is>
      </c>
      <c r="I288" t="n">
        <v>2</v>
      </c>
      <c r="J288" s="5" t="n">
        <v>2202.56</v>
      </c>
      <c r="K288" s="5">
        <f>ROUND(I288*J288,2)</f>
        <v/>
      </c>
      <c r="L288" s="3" t="n">
        <v>0.08</v>
      </c>
      <c r="M288" s="5">
        <f>ROUND(K288*(1-L288),2)</f>
        <v/>
      </c>
      <c r="N288" s="5" t="n">
        <v>1408.05</v>
      </c>
      <c r="O288" s="5">
        <f>ROUND(M288-N288,2)</f>
        <v/>
      </c>
      <c r="P288" t="inlineStr">
        <is>
          <t>Pendiente</t>
        </is>
      </c>
    </row>
    <row r="289">
      <c r="A289" t="inlineStr">
        <is>
          <t>ING-0288</t>
        </is>
      </c>
      <c r="B289" s="2" t="n">
        <v>45303</v>
      </c>
      <c r="C289" t="inlineStr">
        <is>
          <t>Legal360</t>
        </is>
      </c>
      <c r="D289" t="inlineStr">
        <is>
          <t>Finanzas</t>
        </is>
      </c>
      <c r="E289" t="inlineStr">
        <is>
          <t>Portugal</t>
        </is>
      </c>
      <c r="F289" t="inlineStr">
        <is>
          <t>Mantenimiento web</t>
        </is>
      </c>
      <c r="G289" t="inlineStr">
        <is>
          <t>Proyecto puntual</t>
        </is>
      </c>
      <c r="H289" t="inlineStr">
        <is>
          <t>Centro de prensa</t>
        </is>
      </c>
      <c r="I289" t="n">
        <v>2</v>
      </c>
      <c r="J289" s="5" t="n">
        <v>2452.4</v>
      </c>
      <c r="K289" s="5">
        <f>ROUND(I289*J289,2)</f>
        <v/>
      </c>
      <c r="L289" s="3" t="n">
        <v>0.08</v>
      </c>
      <c r="M289" s="5">
        <f>ROUND(K289*(1-L289),2)</f>
        <v/>
      </c>
      <c r="N289" s="5" t="n">
        <v>3044.14</v>
      </c>
      <c r="O289" s="5">
        <f>ROUND(M289-N289,2)</f>
        <v/>
      </c>
      <c r="P289" t="inlineStr">
        <is>
          <t>Pendiente</t>
        </is>
      </c>
    </row>
    <row r="290">
      <c r="A290" t="inlineStr">
        <is>
          <t>ING-0289</t>
        </is>
      </c>
      <c r="B290" s="2" t="n">
        <v>45715</v>
      </c>
      <c r="C290" t="inlineStr">
        <is>
          <t>Grupo Atlas</t>
        </is>
      </c>
      <c r="D290" t="inlineStr">
        <is>
          <t>Finanzas</t>
        </is>
      </c>
      <c r="E290" t="inlineStr">
        <is>
          <t>México</t>
        </is>
      </c>
      <c r="F290" t="inlineStr">
        <is>
          <t>Traducciones</t>
        </is>
      </c>
      <c r="G290" t="inlineStr">
        <is>
          <t>Suscripción mensual</t>
        </is>
      </c>
      <c r="H290" t="inlineStr">
        <is>
          <t>Campaña empleo</t>
        </is>
      </c>
      <c r="I290" t="n">
        <v>45</v>
      </c>
      <c r="J290" s="5" t="n">
        <v>76.55</v>
      </c>
      <c r="K290" s="5">
        <f>ROUND(I290*J290,2)</f>
        <v/>
      </c>
      <c r="L290" s="3" t="n">
        <v>0</v>
      </c>
      <c r="M290" s="5">
        <f>ROUND(K290*(1-L290),2)</f>
        <v/>
      </c>
      <c r="N290" s="5" t="n">
        <v>2141.03</v>
      </c>
      <c r="O290" s="5">
        <f>ROUND(M290-N290,2)</f>
        <v/>
      </c>
      <c r="P290" t="inlineStr">
        <is>
          <t>Emitida</t>
        </is>
      </c>
    </row>
    <row r="291">
      <c r="A291" t="inlineStr">
        <is>
          <t>ING-0290</t>
        </is>
      </c>
      <c r="B291" s="2" t="n">
        <v>45546</v>
      </c>
      <c r="C291" t="inlineStr">
        <is>
          <t>Retail Vision</t>
        </is>
      </c>
      <c r="D291" t="inlineStr">
        <is>
          <t>Medios</t>
        </is>
      </c>
      <c r="E291" t="inlineStr">
        <is>
          <t>Colombia</t>
        </is>
      </c>
      <c r="F291" t="inlineStr">
        <is>
          <t>Mantenimiento web</t>
        </is>
      </c>
      <c r="G291" t="inlineStr">
        <is>
          <t>Retainer trimestral</t>
        </is>
      </c>
      <c r="H291" t="inlineStr">
        <is>
          <t>Microsite RRHH</t>
        </is>
      </c>
      <c r="I291" t="n">
        <v>6</v>
      </c>
      <c r="J291" s="5" t="n">
        <v>4168.73</v>
      </c>
      <c r="K291" s="5">
        <f>ROUND(I291*J291,2)</f>
        <v/>
      </c>
      <c r="L291" s="3" t="n">
        <v>0.03</v>
      </c>
      <c r="M291" s="5">
        <f>ROUND(K291*(1-L291),2)</f>
        <v/>
      </c>
      <c r="N291" s="5" t="n">
        <v>10614.81</v>
      </c>
      <c r="O291" s="5">
        <f>ROUND(M291-N291,2)</f>
        <v/>
      </c>
      <c r="P291" t="inlineStr">
        <is>
          <t>Pendiente</t>
        </is>
      </c>
    </row>
    <row r="292">
      <c r="A292" t="inlineStr">
        <is>
          <t>ING-0291</t>
        </is>
      </c>
      <c r="B292" s="2" t="n">
        <v>45470</v>
      </c>
      <c r="C292" t="inlineStr">
        <is>
          <t>Industrias Vega</t>
        </is>
      </c>
      <c r="D292" t="inlineStr">
        <is>
          <t>Turismo</t>
        </is>
      </c>
      <c r="E292" t="inlineStr">
        <is>
          <t>Colombia</t>
        </is>
      </c>
      <c r="F292" t="inlineStr">
        <is>
          <t>Traducciones</t>
        </is>
      </c>
      <c r="G292" t="inlineStr">
        <is>
          <t>Proyecto puntual</t>
        </is>
      </c>
      <c r="H292" t="inlineStr">
        <is>
          <t>Campaña empleo</t>
        </is>
      </c>
      <c r="I292" t="n">
        <v>61</v>
      </c>
      <c r="J292" s="5" t="n">
        <v>122.62</v>
      </c>
      <c r="K292" s="5">
        <f>ROUND(I292*J292,2)</f>
        <v/>
      </c>
      <c r="L292" s="3" t="n">
        <v>0.03</v>
      </c>
      <c r="M292" s="5">
        <f>ROUND(K292*(1-L292),2)</f>
        <v/>
      </c>
      <c r="N292" s="5" t="n">
        <v>4373.38</v>
      </c>
      <c r="O292" s="5">
        <f>ROUND(M292-N292,2)</f>
        <v/>
      </c>
      <c r="P292" t="inlineStr">
        <is>
          <t>Cobrada</t>
        </is>
      </c>
    </row>
    <row r="293">
      <c r="A293" t="inlineStr">
        <is>
          <t>ING-0292</t>
        </is>
      </c>
      <c r="B293" s="2" t="n">
        <v>45293</v>
      </c>
      <c r="C293" t="inlineStr">
        <is>
          <t>Innova Retail</t>
        </is>
      </c>
      <c r="D293" t="inlineStr">
        <is>
          <t>Salud</t>
        </is>
      </c>
      <c r="E293" t="inlineStr">
        <is>
          <t>Chile</t>
        </is>
      </c>
      <c r="F293" t="inlineStr">
        <is>
          <t>Traducciones</t>
        </is>
      </c>
      <c r="G293" t="inlineStr">
        <is>
          <t>Suscripción mensual</t>
        </is>
      </c>
      <c r="H293" t="inlineStr">
        <is>
          <t>Intranet comercial</t>
        </is>
      </c>
      <c r="I293" t="n">
        <v>112</v>
      </c>
      <c r="J293" s="5" t="n">
        <v>153.41</v>
      </c>
      <c r="K293" s="5">
        <f>ROUND(I293*J293,2)</f>
        <v/>
      </c>
      <c r="L293" s="3" t="n">
        <v>0.08</v>
      </c>
      <c r="M293" s="5">
        <f>ROUND(K293*(1-L293),2)</f>
        <v/>
      </c>
      <c r="N293" s="5" t="n">
        <v>7707.08</v>
      </c>
      <c r="O293" s="5">
        <f>ROUND(M293-N293,2)</f>
        <v/>
      </c>
      <c r="P293" t="inlineStr">
        <is>
          <t>Emitida</t>
        </is>
      </c>
    </row>
    <row r="294">
      <c r="A294" t="inlineStr">
        <is>
          <t>ING-0293</t>
        </is>
      </c>
      <c r="B294" s="2" t="n">
        <v>45503</v>
      </c>
      <c r="C294" t="inlineStr">
        <is>
          <t>Prensa Local 24</t>
        </is>
      </c>
      <c r="D294" t="inlineStr">
        <is>
          <t>Finanzas</t>
        </is>
      </c>
      <c r="E294" t="inlineStr">
        <is>
          <t>España</t>
        </is>
      </c>
      <c r="F294" t="inlineStr">
        <is>
          <t>Mantenimiento web</t>
        </is>
      </c>
      <c r="G294" t="inlineStr">
        <is>
          <t>Campaña</t>
        </is>
      </c>
      <c r="H294" t="inlineStr">
        <is>
          <t>Microsite RRHH</t>
        </is>
      </c>
      <c r="I294" t="n">
        <v>1</v>
      </c>
      <c r="J294" s="5" t="n">
        <v>3801.95</v>
      </c>
      <c r="K294" s="5">
        <f>ROUND(I294*J294,2)</f>
        <v/>
      </c>
      <c r="L294" s="3" t="n">
        <v>0.03</v>
      </c>
      <c r="M294" s="5">
        <f>ROUND(K294*(1-L294),2)</f>
        <v/>
      </c>
      <c r="N294" s="5" t="n">
        <v>2154.84</v>
      </c>
      <c r="O294" s="5">
        <f>ROUND(M294-N294,2)</f>
        <v/>
      </c>
      <c r="P294" t="inlineStr">
        <is>
          <t>Emitida</t>
        </is>
      </c>
    </row>
    <row r="295">
      <c r="A295" t="inlineStr">
        <is>
          <t>ING-0294</t>
        </is>
      </c>
      <c r="B295" s="2" t="n">
        <v>45556</v>
      </c>
      <c r="C295" t="inlineStr">
        <is>
          <t>Innova Retail</t>
        </is>
      </c>
      <c r="D295" t="inlineStr">
        <is>
          <t>RRHH</t>
        </is>
      </c>
      <c r="E295" t="inlineStr">
        <is>
          <t>México</t>
        </is>
      </c>
      <c r="F295" t="inlineStr">
        <is>
          <t>Anuncios internet</t>
        </is>
      </c>
      <c r="G295" t="inlineStr">
        <is>
          <t>Campaña</t>
        </is>
      </c>
      <c r="H295" t="inlineStr">
        <is>
          <t>Intranet comercial</t>
        </is>
      </c>
      <c r="I295" t="n">
        <v>15</v>
      </c>
      <c r="J295" s="5" t="n">
        <v>1363.26</v>
      </c>
      <c r="K295" s="5">
        <f>ROUND(I295*J295,2)</f>
        <v/>
      </c>
      <c r="L295" s="3" t="n">
        <v>0</v>
      </c>
      <c r="M295" s="5">
        <f>ROUND(K295*(1-L295),2)</f>
        <v/>
      </c>
      <c r="N295" s="5" t="n">
        <v>9898.889999999999</v>
      </c>
      <c r="O295" s="5">
        <f>ROUND(M295-N295,2)</f>
        <v/>
      </c>
      <c r="P295" t="inlineStr">
        <is>
          <t>Pendiente</t>
        </is>
      </c>
    </row>
    <row r="296">
      <c r="A296" t="inlineStr">
        <is>
          <t>ING-0295</t>
        </is>
      </c>
      <c r="B296" s="2" t="n">
        <v>45392</v>
      </c>
      <c r="C296" t="inlineStr">
        <is>
          <t>TalentHub</t>
        </is>
      </c>
      <c r="D296" t="inlineStr">
        <is>
          <t>Salud</t>
        </is>
      </c>
      <c r="E296" t="inlineStr">
        <is>
          <t>Colombia</t>
        </is>
      </c>
      <c r="F296" t="inlineStr">
        <is>
          <t>Mantenimiento web</t>
        </is>
      </c>
      <c r="G296" t="inlineStr">
        <is>
          <t>Campaña</t>
        </is>
      </c>
      <c r="H296" t="inlineStr">
        <is>
          <t>Intranet comercial</t>
        </is>
      </c>
      <c r="I296" t="n">
        <v>6</v>
      </c>
      <c r="J296" s="5" t="n">
        <v>3435.49</v>
      </c>
      <c r="K296" s="5">
        <f>ROUND(I296*J296,2)</f>
        <v/>
      </c>
      <c r="L296" s="3" t="n">
        <v>0</v>
      </c>
      <c r="M296" s="5">
        <f>ROUND(K296*(1-L296),2)</f>
        <v/>
      </c>
      <c r="N296" s="5" t="n">
        <v>9261.110000000001</v>
      </c>
      <c r="O296" s="5">
        <f>ROUND(M296-N296,2)</f>
        <v/>
      </c>
      <c r="P296" t="inlineStr">
        <is>
          <t>Emitida</t>
        </is>
      </c>
    </row>
    <row r="297">
      <c r="A297" t="inlineStr">
        <is>
          <t>ING-0296</t>
        </is>
      </c>
      <c r="B297" s="2" t="n">
        <v>45737</v>
      </c>
      <c r="C297" t="inlineStr">
        <is>
          <t>Fundación Horizonte</t>
        </is>
      </c>
      <c r="D297" t="inlineStr">
        <is>
          <t>Tecnología</t>
        </is>
      </c>
      <c r="E297" t="inlineStr">
        <is>
          <t>Chile</t>
        </is>
      </c>
      <c r="F297" t="inlineStr">
        <is>
          <t>Anuncios internet</t>
        </is>
      </c>
      <c r="G297" t="inlineStr">
        <is>
          <t>Retainer trimestral</t>
        </is>
      </c>
      <c r="H297" t="inlineStr">
        <is>
          <t>Intranet operaciones</t>
        </is>
      </c>
      <c r="I297" t="n">
        <v>12</v>
      </c>
      <c r="J297" s="5" t="n">
        <v>337.31</v>
      </c>
      <c r="K297" s="5">
        <f>ROUND(I297*J297,2)</f>
        <v/>
      </c>
      <c r="L297" s="3" t="n">
        <v>0.03</v>
      </c>
      <c r="M297" s="5">
        <f>ROUND(K297*(1-L297),2)</f>
        <v/>
      </c>
      <c r="N297" s="5" t="n">
        <v>1095.13</v>
      </c>
      <c r="O297" s="5">
        <f>ROUND(M297-N297,2)</f>
        <v/>
      </c>
      <c r="P297" t="inlineStr">
        <is>
          <t>Emitida</t>
        </is>
      </c>
    </row>
    <row r="298">
      <c r="A298" t="inlineStr">
        <is>
          <t>ING-0297</t>
        </is>
      </c>
      <c r="B298" s="2" t="n">
        <v>45581</v>
      </c>
      <c r="C298" t="inlineStr">
        <is>
          <t>Legal360</t>
        </is>
      </c>
      <c r="D298" t="inlineStr">
        <is>
          <t>Retail</t>
        </is>
      </c>
      <c r="E298" t="inlineStr">
        <is>
          <t>México</t>
        </is>
      </c>
      <c r="F298" t="inlineStr">
        <is>
          <t>Anuncios prensa</t>
        </is>
      </c>
      <c r="G298" t="inlineStr">
        <is>
          <t>Soporte anual</t>
        </is>
      </c>
      <c r="H298" t="inlineStr">
        <is>
          <t>Portal internacional</t>
        </is>
      </c>
      <c r="I298" t="n">
        <v>5</v>
      </c>
      <c r="J298" s="5" t="n">
        <v>1804.55</v>
      </c>
      <c r="K298" s="5">
        <f>ROUND(I298*J298,2)</f>
        <v/>
      </c>
      <c r="L298" s="3" t="n">
        <v>0.05</v>
      </c>
      <c r="M298" s="5">
        <f>ROUND(K298*(1-L298),2)</f>
        <v/>
      </c>
      <c r="N298" s="5" t="n">
        <v>2351.87</v>
      </c>
      <c r="O298" s="5">
        <f>ROUND(M298-N298,2)</f>
        <v/>
      </c>
      <c r="P298" t="inlineStr">
        <is>
          <t>Cobrada</t>
        </is>
      </c>
    </row>
    <row r="299">
      <c r="A299" t="inlineStr">
        <is>
          <t>ING-0298</t>
        </is>
      </c>
      <c r="B299" s="2" t="n">
        <v>45579</v>
      </c>
      <c r="C299" t="inlineStr">
        <is>
          <t>Grupo Atlas</t>
        </is>
      </c>
      <c r="D299" t="inlineStr">
        <is>
          <t>Tecnología</t>
        </is>
      </c>
      <c r="E299" t="inlineStr">
        <is>
          <t>Portugal</t>
        </is>
      </c>
      <c r="F299" t="inlineStr">
        <is>
          <t>Anuncios prensa</t>
        </is>
      </c>
      <c r="G299" t="inlineStr">
        <is>
          <t>Proyecto puntual</t>
        </is>
      </c>
      <c r="H299" t="inlineStr">
        <is>
          <t>Microsite RRHH</t>
        </is>
      </c>
      <c r="I299" t="n">
        <v>10</v>
      </c>
      <c r="J299" s="5" t="n">
        <v>1316.01</v>
      </c>
      <c r="K299" s="5">
        <f>ROUND(I299*J299,2)</f>
        <v/>
      </c>
      <c r="L299" s="3" t="n">
        <v>0</v>
      </c>
      <c r="M299" s="5">
        <f>ROUND(K299*(1-L299),2)</f>
        <v/>
      </c>
      <c r="N299" s="5" t="n">
        <v>4447.61</v>
      </c>
      <c r="O299" s="5">
        <f>ROUND(M299-N299,2)</f>
        <v/>
      </c>
      <c r="P299" t="inlineStr">
        <is>
          <t>Cobrada</t>
        </is>
      </c>
    </row>
    <row r="300">
      <c r="A300" t="inlineStr">
        <is>
          <t>ING-0299</t>
        </is>
      </c>
      <c r="B300" s="2" t="n">
        <v>45332</v>
      </c>
      <c r="C300" t="inlineStr">
        <is>
          <t>Industrias Vega</t>
        </is>
      </c>
      <c r="D300" t="inlineStr">
        <is>
          <t>Logística</t>
        </is>
      </c>
      <c r="E300" t="inlineStr">
        <is>
          <t>España</t>
        </is>
      </c>
      <c r="F300" t="inlineStr">
        <is>
          <t>Generación de noticias</t>
        </is>
      </c>
      <c r="G300" t="inlineStr">
        <is>
          <t>Soporte anual</t>
        </is>
      </c>
      <c r="H300" t="inlineStr">
        <is>
          <t>Campaña empleo</t>
        </is>
      </c>
      <c r="I300" t="n">
        <v>118</v>
      </c>
      <c r="J300" s="5" t="n">
        <v>95.11</v>
      </c>
      <c r="K300" s="5">
        <f>ROUND(I300*J300,2)</f>
        <v/>
      </c>
      <c r="L300" s="3" t="n">
        <v>0</v>
      </c>
      <c r="M300" s="5">
        <f>ROUND(K300*(1-L300),2)</f>
        <v/>
      </c>
      <c r="N300" s="5" t="n">
        <v>6778.19</v>
      </c>
      <c r="O300" s="5">
        <f>ROUND(M300-N300,2)</f>
        <v/>
      </c>
      <c r="P300" t="inlineStr">
        <is>
          <t>Pendiente</t>
        </is>
      </c>
    </row>
    <row r="301">
      <c r="A301" t="inlineStr">
        <is>
          <t>ING-0300</t>
        </is>
      </c>
      <c r="B301" s="2" t="n">
        <v>45504</v>
      </c>
      <c r="C301" t="inlineStr">
        <is>
          <t>Legal360</t>
        </is>
      </c>
      <c r="D301" t="inlineStr">
        <is>
          <t>Educación</t>
        </is>
      </c>
      <c r="E301" t="inlineStr">
        <is>
          <t>México</t>
        </is>
      </c>
      <c r="F301" t="inlineStr">
        <is>
          <t>Anuncios internet</t>
        </is>
      </c>
      <c r="G301" t="inlineStr">
        <is>
          <t>Retainer trimestral</t>
        </is>
      </c>
      <c r="H301" t="inlineStr">
        <is>
          <t>Portal corporativo</t>
        </is>
      </c>
      <c r="I301" t="n">
        <v>3</v>
      </c>
      <c r="J301" s="5" t="n">
        <v>285.32</v>
      </c>
      <c r="K301" s="5">
        <f>ROUND(I301*J301,2)</f>
        <v/>
      </c>
      <c r="L301" s="3" t="n">
        <v>0</v>
      </c>
      <c r="M301" s="5">
        <f>ROUND(K301*(1-L301),2)</f>
        <v/>
      </c>
      <c r="N301" s="5" t="n">
        <v>311.89</v>
      </c>
      <c r="O301" s="5">
        <f>ROUND(M301-N301,2)</f>
        <v/>
      </c>
      <c r="P301" t="inlineStr">
        <is>
          <t>Emitida</t>
        </is>
      </c>
    </row>
    <row r="302">
      <c r="A302" t="inlineStr">
        <is>
          <t>ING-0301</t>
        </is>
      </c>
      <c r="B302" s="2" t="n">
        <v>45421</v>
      </c>
      <c r="C302" t="inlineStr">
        <is>
          <t>Nova Salud</t>
        </is>
      </c>
      <c r="D302" t="inlineStr">
        <is>
          <t>Salud</t>
        </is>
      </c>
      <c r="E302" t="inlineStr">
        <is>
          <t>México</t>
        </is>
      </c>
      <c r="F302" t="inlineStr">
        <is>
          <t>Mantenimiento web</t>
        </is>
      </c>
      <c r="G302" t="inlineStr">
        <is>
          <t>Soporte anual</t>
        </is>
      </c>
      <c r="H302" t="inlineStr">
        <is>
          <t>Campaña empleo</t>
        </is>
      </c>
      <c r="I302" t="n">
        <v>8</v>
      </c>
      <c r="J302" s="5" t="n">
        <v>3299.53</v>
      </c>
      <c r="K302" s="5">
        <f>ROUND(I302*J302,2)</f>
        <v/>
      </c>
      <c r="L302" s="3" t="n">
        <v>0.08</v>
      </c>
      <c r="M302" s="5">
        <f>ROUND(K302*(1-L302),2)</f>
        <v/>
      </c>
      <c r="N302" s="5" t="n">
        <v>8010.18</v>
      </c>
      <c r="O302" s="5">
        <f>ROUND(M302-N302,2)</f>
        <v/>
      </c>
      <c r="P302" t="inlineStr">
        <is>
          <t>Pendiente</t>
        </is>
      </c>
    </row>
    <row r="303">
      <c r="A303" t="inlineStr">
        <is>
          <t>ING-0302</t>
        </is>
      </c>
      <c r="B303" s="2" t="n">
        <v>45648</v>
      </c>
      <c r="C303" t="inlineStr">
        <is>
          <t>Ayuntamiento Norte</t>
        </is>
      </c>
      <c r="D303" t="inlineStr">
        <is>
          <t>Logística</t>
        </is>
      </c>
      <c r="E303" t="inlineStr">
        <is>
          <t>España</t>
        </is>
      </c>
      <c r="F303" t="inlineStr">
        <is>
          <t>Traducciones</t>
        </is>
      </c>
      <c r="G303" t="inlineStr">
        <is>
          <t>Retainer trimestral</t>
        </is>
      </c>
      <c r="H303" t="inlineStr">
        <is>
          <t>Campaña empleo</t>
        </is>
      </c>
      <c r="I303" t="n">
        <v>101</v>
      </c>
      <c r="J303" s="5" t="n">
        <v>137.99</v>
      </c>
      <c r="K303" s="5">
        <f>ROUND(I303*J303,2)</f>
        <v/>
      </c>
      <c r="L303" s="3" t="n">
        <v>0.1</v>
      </c>
      <c r="M303" s="5">
        <f>ROUND(K303*(1-L303),2)</f>
        <v/>
      </c>
      <c r="N303" s="5" t="n">
        <v>7724.31</v>
      </c>
      <c r="O303" s="5">
        <f>ROUND(M303-N303,2)</f>
        <v/>
      </c>
      <c r="P303" t="inlineStr">
        <is>
          <t>Pendiente</t>
        </is>
      </c>
    </row>
    <row r="304">
      <c r="A304" t="inlineStr">
        <is>
          <t>ING-0303</t>
        </is>
      </c>
      <c r="B304" s="2" t="n">
        <v>45603</v>
      </c>
      <c r="C304" t="inlineStr">
        <is>
          <t>TalentHub</t>
        </is>
      </c>
      <c r="D304" t="inlineStr">
        <is>
          <t>Salud</t>
        </is>
      </c>
      <c r="E304" t="inlineStr">
        <is>
          <t>Chile</t>
        </is>
      </c>
      <c r="F304" t="inlineStr">
        <is>
          <t>Traducciones</t>
        </is>
      </c>
      <c r="G304" t="inlineStr">
        <is>
          <t>Retainer trimestral</t>
        </is>
      </c>
      <c r="H304" t="inlineStr">
        <is>
          <t>Intranet operaciones</t>
        </is>
      </c>
      <c r="I304" t="n">
        <v>105</v>
      </c>
      <c r="J304" s="5" t="n">
        <v>64.09999999999999</v>
      </c>
      <c r="K304" s="5">
        <f>ROUND(I304*J304,2)</f>
        <v/>
      </c>
      <c r="L304" s="3" t="n">
        <v>0.05</v>
      </c>
      <c r="M304" s="5">
        <f>ROUND(K304*(1-L304),2)</f>
        <v/>
      </c>
      <c r="N304" s="5" t="n">
        <v>2422.02</v>
      </c>
      <c r="O304" s="5">
        <f>ROUND(M304-N304,2)</f>
        <v/>
      </c>
      <c r="P304" t="inlineStr">
        <is>
          <t>Pendiente</t>
        </is>
      </c>
    </row>
    <row r="305">
      <c r="A305" t="inlineStr">
        <is>
          <t>ING-0304</t>
        </is>
      </c>
      <c r="B305" s="2" t="n">
        <v>45529</v>
      </c>
      <c r="C305" t="inlineStr">
        <is>
          <t>Retail Vision</t>
        </is>
      </c>
      <c r="D305" t="inlineStr">
        <is>
          <t>Industria</t>
        </is>
      </c>
      <c r="E305" t="inlineStr">
        <is>
          <t>España</t>
        </is>
      </c>
      <c r="F305" t="inlineStr">
        <is>
          <t>Anuncios TV</t>
        </is>
      </c>
      <c r="G305" t="inlineStr">
        <is>
          <t>Campaña</t>
        </is>
      </c>
      <c r="H305" t="inlineStr">
        <is>
          <t>Microsite RRHH</t>
        </is>
      </c>
      <c r="I305" t="n">
        <v>22</v>
      </c>
      <c r="J305" s="5" t="n">
        <v>675.65</v>
      </c>
      <c r="K305" s="5">
        <f>ROUND(I305*J305,2)</f>
        <v/>
      </c>
      <c r="L305" s="3" t="n">
        <v>0.08</v>
      </c>
      <c r="M305" s="5">
        <f>ROUND(K305*(1-L305),2)</f>
        <v/>
      </c>
      <c r="N305" s="5" t="n">
        <v>4132.29</v>
      </c>
      <c r="O305" s="5">
        <f>ROUND(M305-N305,2)</f>
        <v/>
      </c>
      <c r="P305" t="inlineStr">
        <is>
          <t>Pendiente</t>
        </is>
      </c>
    </row>
    <row r="306">
      <c r="A306" t="inlineStr">
        <is>
          <t>ING-0305</t>
        </is>
      </c>
      <c r="B306" s="2" t="n">
        <v>45368</v>
      </c>
      <c r="C306" t="inlineStr">
        <is>
          <t>TechSphere</t>
        </is>
      </c>
      <c r="D306" t="inlineStr">
        <is>
          <t>Industria</t>
        </is>
      </c>
      <c r="E306" t="inlineStr">
        <is>
          <t>México</t>
        </is>
      </c>
      <c r="F306" t="inlineStr">
        <is>
          <t>Generación de noticias</t>
        </is>
      </c>
      <c r="G306" t="inlineStr">
        <is>
          <t>Suscripción mensual</t>
        </is>
      </c>
      <c r="H306" t="inlineStr">
        <is>
          <t>Intranet operaciones</t>
        </is>
      </c>
      <c r="I306" t="n">
        <v>57</v>
      </c>
      <c r="J306" s="5" t="n">
        <v>167.13</v>
      </c>
      <c r="K306" s="5">
        <f>ROUND(I306*J306,2)</f>
        <v/>
      </c>
      <c r="L306" s="3" t="n">
        <v>0.05</v>
      </c>
      <c r="M306" s="5">
        <f>ROUND(K306*(1-L306),2)</f>
        <v/>
      </c>
      <c r="N306" s="5" t="n">
        <v>6295.5</v>
      </c>
      <c r="O306" s="5">
        <f>ROUND(M306-N306,2)</f>
        <v/>
      </c>
      <c r="P306" t="inlineStr">
        <is>
          <t>Pendiente</t>
        </is>
      </c>
    </row>
    <row r="307">
      <c r="A307" t="inlineStr">
        <is>
          <t>ING-0306</t>
        </is>
      </c>
      <c r="B307" s="2" t="n">
        <v>45515</v>
      </c>
      <c r="C307" t="inlineStr">
        <is>
          <t>TurisWorld</t>
        </is>
      </c>
      <c r="D307" t="inlineStr">
        <is>
          <t>Finanzas</t>
        </is>
      </c>
      <c r="E307" t="inlineStr">
        <is>
          <t>Chile</t>
        </is>
      </c>
      <c r="F307" t="inlineStr">
        <is>
          <t>Generación de noticias</t>
        </is>
      </c>
      <c r="G307" t="inlineStr">
        <is>
          <t>Soporte anual</t>
        </is>
      </c>
      <c r="H307" t="inlineStr">
        <is>
          <t>Centro de prensa</t>
        </is>
      </c>
      <c r="I307" t="n">
        <v>34</v>
      </c>
      <c r="J307" s="5" t="n">
        <v>156.33</v>
      </c>
      <c r="K307" s="5">
        <f>ROUND(I307*J307,2)</f>
        <v/>
      </c>
      <c r="L307" s="3" t="n">
        <v>0.08</v>
      </c>
      <c r="M307" s="5">
        <f>ROUND(K307*(1-L307),2)</f>
        <v/>
      </c>
      <c r="N307" s="5" t="n">
        <v>3070.8</v>
      </c>
      <c r="O307" s="5">
        <f>ROUND(M307-N307,2)</f>
        <v/>
      </c>
      <c r="P307" t="inlineStr">
        <is>
          <t>Pendiente</t>
        </is>
      </c>
    </row>
    <row r="308">
      <c r="A308" t="inlineStr">
        <is>
          <t>ING-0307</t>
        </is>
      </c>
      <c r="B308" s="2" t="n">
        <v>45713</v>
      </c>
      <c r="C308" t="inlineStr">
        <is>
          <t>Ayuntamiento Norte</t>
        </is>
      </c>
      <c r="D308" t="inlineStr">
        <is>
          <t>Retail</t>
        </is>
      </c>
      <c r="E308" t="inlineStr">
        <is>
          <t>Colombia</t>
        </is>
      </c>
      <c r="F308" t="inlineStr">
        <is>
          <t>Traducciones</t>
        </is>
      </c>
      <c r="G308" t="inlineStr">
        <is>
          <t>Proyecto puntual</t>
        </is>
      </c>
      <c r="H308" t="inlineStr">
        <is>
          <t>Portal corporativo</t>
        </is>
      </c>
      <c r="I308" t="n">
        <v>62</v>
      </c>
      <c r="J308" s="5" t="n">
        <v>152.98</v>
      </c>
      <c r="K308" s="5">
        <f>ROUND(I308*J308,2)</f>
        <v/>
      </c>
      <c r="L308" s="3" t="n">
        <v>0</v>
      </c>
      <c r="M308" s="5">
        <f>ROUND(K308*(1-L308),2)</f>
        <v/>
      </c>
      <c r="N308" s="5" t="n">
        <v>2644.46</v>
      </c>
      <c r="O308" s="5">
        <f>ROUND(M308-N308,2)</f>
        <v/>
      </c>
      <c r="P308" t="inlineStr">
        <is>
          <t>Cobrada</t>
        </is>
      </c>
    </row>
    <row r="309">
      <c r="A309" t="inlineStr">
        <is>
          <t>ING-0308</t>
        </is>
      </c>
      <c r="B309" s="2" t="n">
        <v>45379</v>
      </c>
      <c r="C309" t="inlineStr">
        <is>
          <t>Innova Retail</t>
        </is>
      </c>
      <c r="D309" t="inlineStr">
        <is>
          <t>Educación</t>
        </is>
      </c>
      <c r="E309" t="inlineStr">
        <is>
          <t>Colombia</t>
        </is>
      </c>
      <c r="F309" t="inlineStr">
        <is>
          <t>Mantenimiento web</t>
        </is>
      </c>
      <c r="G309" t="inlineStr">
        <is>
          <t>Suscripción mensual</t>
        </is>
      </c>
      <c r="H309" t="inlineStr">
        <is>
          <t>Sección noticias</t>
        </is>
      </c>
      <c r="I309" t="n">
        <v>8</v>
      </c>
      <c r="J309" s="5" t="n">
        <v>3851.33</v>
      </c>
      <c r="K309" s="5">
        <f>ROUND(I309*J309,2)</f>
        <v/>
      </c>
      <c r="L309" s="3" t="n">
        <v>0.1</v>
      </c>
      <c r="M309" s="5">
        <f>ROUND(K309*(1-L309),2)</f>
        <v/>
      </c>
      <c r="N309" s="5" t="n">
        <v>14864.18</v>
      </c>
      <c r="O309" s="5">
        <f>ROUND(M309-N309,2)</f>
        <v/>
      </c>
      <c r="P309" t="inlineStr">
        <is>
          <t>Pendiente</t>
        </is>
      </c>
    </row>
    <row r="310">
      <c r="A310" t="inlineStr">
        <is>
          <t>ING-0309</t>
        </is>
      </c>
      <c r="B310" s="2" t="n">
        <v>45571</v>
      </c>
      <c r="C310" t="inlineStr">
        <is>
          <t>EducaPro</t>
        </is>
      </c>
      <c r="D310" t="inlineStr">
        <is>
          <t>Finanzas</t>
        </is>
      </c>
      <c r="E310" t="inlineStr">
        <is>
          <t>México</t>
        </is>
      </c>
      <c r="F310" t="inlineStr">
        <is>
          <t>Mantenimiento web</t>
        </is>
      </c>
      <c r="G310" t="inlineStr">
        <is>
          <t>Soporte anual</t>
        </is>
      </c>
      <c r="H310" t="inlineStr">
        <is>
          <t>Intranet operaciones</t>
        </is>
      </c>
      <c r="I310" t="n">
        <v>2</v>
      </c>
      <c r="J310" s="5" t="n">
        <v>3958.63</v>
      </c>
      <c r="K310" s="5">
        <f>ROUND(I310*J310,2)</f>
        <v/>
      </c>
      <c r="L310" s="3" t="n">
        <v>0</v>
      </c>
      <c r="M310" s="5">
        <f>ROUND(K310*(1-L310),2)</f>
        <v/>
      </c>
      <c r="N310" s="5" t="n">
        <v>5049.89</v>
      </c>
      <c r="O310" s="5">
        <f>ROUND(M310-N310,2)</f>
        <v/>
      </c>
      <c r="P310" t="inlineStr">
        <is>
          <t>Emitida</t>
        </is>
      </c>
    </row>
    <row r="311">
      <c r="A311" t="inlineStr">
        <is>
          <t>ING-0310</t>
        </is>
      </c>
      <c r="B311" s="2" t="n">
        <v>45612</v>
      </c>
      <c r="C311" t="inlineStr">
        <is>
          <t>Retail Vision</t>
        </is>
      </c>
      <c r="D311" t="inlineStr">
        <is>
          <t>Turismo</t>
        </is>
      </c>
      <c r="E311" t="inlineStr">
        <is>
          <t>Chile</t>
        </is>
      </c>
      <c r="F311" t="inlineStr">
        <is>
          <t>Traducciones</t>
        </is>
      </c>
      <c r="G311" t="inlineStr">
        <is>
          <t>Suscripción mensual</t>
        </is>
      </c>
      <c r="H311" t="inlineStr">
        <is>
          <t>Intranet comercial</t>
        </is>
      </c>
      <c r="I311" t="n">
        <v>7</v>
      </c>
      <c r="J311" s="5" t="n">
        <v>142.33</v>
      </c>
      <c r="K311" s="5">
        <f>ROUND(I311*J311,2)</f>
        <v/>
      </c>
      <c r="L311" s="3" t="n">
        <v>0.08</v>
      </c>
      <c r="M311" s="5">
        <f>ROUND(K311*(1-L311),2)</f>
        <v/>
      </c>
      <c r="N311" s="5" t="n">
        <v>479.36</v>
      </c>
      <c r="O311" s="5">
        <f>ROUND(M311-N311,2)</f>
        <v/>
      </c>
      <c r="P311" t="inlineStr">
        <is>
          <t>Cobrada</t>
        </is>
      </c>
    </row>
    <row r="312">
      <c r="A312" t="inlineStr">
        <is>
          <t>ING-0311</t>
        </is>
      </c>
      <c r="B312" s="2" t="n">
        <v>45523</v>
      </c>
      <c r="C312" t="inlineStr">
        <is>
          <t>Industrias Vega</t>
        </is>
      </c>
      <c r="D312" t="inlineStr">
        <is>
          <t>Legal</t>
        </is>
      </c>
      <c r="E312" t="inlineStr">
        <is>
          <t>Chile</t>
        </is>
      </c>
      <c r="F312" t="inlineStr">
        <is>
          <t>Generación de noticias</t>
        </is>
      </c>
      <c r="G312" t="inlineStr">
        <is>
          <t>Proyecto puntual</t>
        </is>
      </c>
      <c r="H312" t="inlineStr">
        <is>
          <t>Intranet operaciones</t>
        </is>
      </c>
      <c r="I312" t="n">
        <v>73</v>
      </c>
      <c r="J312" s="5" t="n">
        <v>59.35</v>
      </c>
      <c r="K312" s="5">
        <f>ROUND(I312*J312,2)</f>
        <v/>
      </c>
      <c r="L312" s="3" t="n">
        <v>0.08</v>
      </c>
      <c r="M312" s="5">
        <f>ROUND(K312*(1-L312),2)</f>
        <v/>
      </c>
      <c r="N312" s="5" t="n">
        <v>2495.13</v>
      </c>
      <c r="O312" s="5">
        <f>ROUND(M312-N312,2)</f>
        <v/>
      </c>
      <c r="P312" t="inlineStr">
        <is>
          <t>Cobrada</t>
        </is>
      </c>
    </row>
    <row r="313">
      <c r="A313" t="inlineStr">
        <is>
          <t>ING-0312</t>
        </is>
      </c>
      <c r="B313" s="2" t="n">
        <v>45424</v>
      </c>
      <c r="C313" t="inlineStr">
        <is>
          <t>Prensa Local 24</t>
        </is>
      </c>
      <c r="D313" t="inlineStr">
        <is>
          <t>Salud</t>
        </is>
      </c>
      <c r="E313" t="inlineStr">
        <is>
          <t>Colombia</t>
        </is>
      </c>
      <c r="F313" t="inlineStr">
        <is>
          <t>Anuncios internet</t>
        </is>
      </c>
      <c r="G313" t="inlineStr">
        <is>
          <t>Campaña</t>
        </is>
      </c>
      <c r="H313" t="inlineStr">
        <is>
          <t>Portal internacional</t>
        </is>
      </c>
      <c r="I313" t="n">
        <v>19</v>
      </c>
      <c r="J313" s="5" t="n">
        <v>555.55</v>
      </c>
      <c r="K313" s="5">
        <f>ROUND(I313*J313,2)</f>
        <v/>
      </c>
      <c r="L313" s="3" t="n">
        <v>0.05</v>
      </c>
      <c r="M313" s="5">
        <f>ROUND(K313*(1-L313),2)</f>
        <v/>
      </c>
      <c r="N313" s="5" t="n">
        <v>6323.83</v>
      </c>
      <c r="O313" s="5">
        <f>ROUND(M313-N313,2)</f>
        <v/>
      </c>
      <c r="P313" t="inlineStr">
        <is>
          <t>Pendiente</t>
        </is>
      </c>
    </row>
    <row r="314">
      <c r="A314" t="inlineStr">
        <is>
          <t>ING-0313</t>
        </is>
      </c>
      <c r="B314" s="2" t="n">
        <v>45445</v>
      </c>
      <c r="C314" t="inlineStr">
        <is>
          <t>Smart Factory</t>
        </is>
      </c>
      <c r="D314" t="inlineStr">
        <is>
          <t>Administración pública</t>
        </is>
      </c>
      <c r="E314" t="inlineStr">
        <is>
          <t>España</t>
        </is>
      </c>
      <c r="F314" t="inlineStr">
        <is>
          <t>Traducciones</t>
        </is>
      </c>
      <c r="G314" t="inlineStr">
        <is>
          <t>Suscripción mensual</t>
        </is>
      </c>
      <c r="H314" t="inlineStr">
        <is>
          <t>Sección noticias</t>
        </is>
      </c>
      <c r="I314" t="n">
        <v>112</v>
      </c>
      <c r="J314" s="5" t="n">
        <v>66.45</v>
      </c>
      <c r="K314" s="5">
        <f>ROUND(I314*J314,2)</f>
        <v/>
      </c>
      <c r="L314" s="3" t="n">
        <v>0.08</v>
      </c>
      <c r="M314" s="5">
        <f>ROUND(K314*(1-L314),2)</f>
        <v/>
      </c>
      <c r="N314" s="5" t="n">
        <v>3663.59</v>
      </c>
      <c r="O314" s="5">
        <f>ROUND(M314-N314,2)</f>
        <v/>
      </c>
      <c r="P314" t="inlineStr">
        <is>
          <t>Cobrada</t>
        </is>
      </c>
    </row>
    <row r="315">
      <c r="A315" t="inlineStr">
        <is>
          <t>ING-0314</t>
        </is>
      </c>
      <c r="B315" s="2" t="n">
        <v>45550</v>
      </c>
      <c r="C315" t="inlineStr">
        <is>
          <t>FinanData</t>
        </is>
      </c>
      <c r="D315" t="inlineStr">
        <is>
          <t>Industria</t>
        </is>
      </c>
      <c r="E315" t="inlineStr">
        <is>
          <t>Colombia</t>
        </is>
      </c>
      <c r="F315" t="inlineStr">
        <is>
          <t>Generación de noticias</t>
        </is>
      </c>
      <c r="G315" t="inlineStr">
        <is>
          <t>Soporte anual</t>
        </is>
      </c>
      <c r="H315" t="inlineStr">
        <is>
          <t>Intranet operaciones</t>
        </is>
      </c>
      <c r="I315" t="n">
        <v>81</v>
      </c>
      <c r="J315" s="5" t="n">
        <v>133.86</v>
      </c>
      <c r="K315" s="5">
        <f>ROUND(I315*J315,2)</f>
        <v/>
      </c>
      <c r="L315" s="3" t="n">
        <v>0.1</v>
      </c>
      <c r="M315" s="5">
        <f>ROUND(K315*(1-L315),2)</f>
        <v/>
      </c>
      <c r="N315" s="5" t="n">
        <v>5320.04</v>
      </c>
      <c r="O315" s="5">
        <f>ROUND(M315-N315,2)</f>
        <v/>
      </c>
      <c r="P315" t="inlineStr">
        <is>
          <t>Pendiente</t>
        </is>
      </c>
    </row>
    <row r="316">
      <c r="A316" t="inlineStr">
        <is>
          <t>ING-0315</t>
        </is>
      </c>
      <c r="B316" s="2" t="n">
        <v>45352</v>
      </c>
      <c r="C316" t="inlineStr">
        <is>
          <t>Ayuntamiento Norte</t>
        </is>
      </c>
      <c r="D316" t="inlineStr">
        <is>
          <t>Educación</t>
        </is>
      </c>
      <c r="E316" t="inlineStr">
        <is>
          <t>Chile</t>
        </is>
      </c>
      <c r="F316" t="inlineStr">
        <is>
          <t>Mantenimiento web</t>
        </is>
      </c>
      <c r="G316" t="inlineStr">
        <is>
          <t>Campaña</t>
        </is>
      </c>
      <c r="H316" t="inlineStr">
        <is>
          <t>Intranet comercial</t>
        </is>
      </c>
      <c r="I316" t="n">
        <v>1</v>
      </c>
      <c r="J316" s="5" t="n">
        <v>3019.83</v>
      </c>
      <c r="K316" s="5">
        <f>ROUND(I316*J316,2)</f>
        <v/>
      </c>
      <c r="L316" s="3" t="n">
        <v>0.03</v>
      </c>
      <c r="M316" s="5">
        <f>ROUND(K316*(1-L316),2)</f>
        <v/>
      </c>
      <c r="N316" s="5" t="n">
        <v>1052.76</v>
      </c>
      <c r="O316" s="5">
        <f>ROUND(M316-N316,2)</f>
        <v/>
      </c>
      <c r="P316" t="inlineStr">
        <is>
          <t>Cobrada</t>
        </is>
      </c>
    </row>
    <row r="317">
      <c r="A317" t="inlineStr">
        <is>
          <t>ING-0316</t>
        </is>
      </c>
      <c r="B317" s="2" t="n">
        <v>45705</v>
      </c>
      <c r="C317" t="inlineStr">
        <is>
          <t>Prensa Local 24</t>
        </is>
      </c>
      <c r="D317" t="inlineStr">
        <is>
          <t>Legal</t>
        </is>
      </c>
      <c r="E317" t="inlineStr">
        <is>
          <t>Portugal</t>
        </is>
      </c>
      <c r="F317" t="inlineStr">
        <is>
          <t>Mantenimiento web</t>
        </is>
      </c>
      <c r="G317" t="inlineStr">
        <is>
          <t>Retainer trimestral</t>
        </is>
      </c>
      <c r="H317" t="inlineStr">
        <is>
          <t>Microsite RRHH</t>
        </is>
      </c>
      <c r="I317" t="n">
        <v>4</v>
      </c>
      <c r="J317" s="5" t="n">
        <v>1537.31</v>
      </c>
      <c r="K317" s="5">
        <f>ROUND(I317*J317,2)</f>
        <v/>
      </c>
      <c r="L317" s="3" t="n">
        <v>0.03</v>
      </c>
      <c r="M317" s="5">
        <f>ROUND(K317*(1-L317),2)</f>
        <v/>
      </c>
      <c r="N317" s="5" t="n">
        <v>2288.56</v>
      </c>
      <c r="O317" s="5">
        <f>ROUND(M317-N317,2)</f>
        <v/>
      </c>
      <c r="P317" t="inlineStr">
        <is>
          <t>Emitida</t>
        </is>
      </c>
    </row>
    <row r="318">
      <c r="A318" t="inlineStr">
        <is>
          <t>ING-0317</t>
        </is>
      </c>
      <c r="B318" s="2" t="n">
        <v>45620</v>
      </c>
      <c r="C318" t="inlineStr">
        <is>
          <t>EcoLogística</t>
        </is>
      </c>
      <c r="D318" t="inlineStr">
        <is>
          <t>Retail</t>
        </is>
      </c>
      <c r="E318" t="inlineStr">
        <is>
          <t>México</t>
        </is>
      </c>
      <c r="F318" t="inlineStr">
        <is>
          <t>Anuncios internet</t>
        </is>
      </c>
      <c r="G318" t="inlineStr">
        <is>
          <t>Suscripción mensual</t>
        </is>
      </c>
      <c r="H318" t="inlineStr">
        <is>
          <t>Microsite RRHH</t>
        </is>
      </c>
      <c r="I318" t="n">
        <v>27</v>
      </c>
      <c r="J318" s="5" t="n">
        <v>2168.63</v>
      </c>
      <c r="K318" s="5">
        <f>ROUND(I318*J318,2)</f>
        <v/>
      </c>
      <c r="L318" s="3" t="n">
        <v>0.1</v>
      </c>
      <c r="M318" s="5">
        <f>ROUND(K318*(1-L318),2)</f>
        <v/>
      </c>
      <c r="N318" s="5" t="n">
        <v>31221.19</v>
      </c>
      <c r="O318" s="5">
        <f>ROUND(M318-N318,2)</f>
        <v/>
      </c>
      <c r="P318" t="inlineStr">
        <is>
          <t>Pendiente</t>
        </is>
      </c>
    </row>
    <row r="319">
      <c r="A319" t="inlineStr">
        <is>
          <t>ING-0318</t>
        </is>
      </c>
      <c r="B319" s="2" t="n">
        <v>45427</v>
      </c>
      <c r="C319" t="inlineStr">
        <is>
          <t>Smart Factory</t>
        </is>
      </c>
      <c r="D319" t="inlineStr">
        <is>
          <t>Administración pública</t>
        </is>
      </c>
      <c r="E319" t="inlineStr">
        <is>
          <t>España</t>
        </is>
      </c>
      <c r="F319" t="inlineStr">
        <is>
          <t>Generación de noticias</t>
        </is>
      </c>
      <c r="G319" t="inlineStr">
        <is>
          <t>Retainer trimestral</t>
        </is>
      </c>
      <c r="H319" t="inlineStr">
        <is>
          <t>Intranet operaciones</t>
        </is>
      </c>
      <c r="I319" t="n">
        <v>53</v>
      </c>
      <c r="J319" s="5" t="n">
        <v>93.72</v>
      </c>
      <c r="K319" s="5">
        <f>ROUND(I319*J319,2)</f>
        <v/>
      </c>
      <c r="L319" s="3" t="n">
        <v>0.08</v>
      </c>
      <c r="M319" s="5">
        <f>ROUND(K319*(1-L319),2)</f>
        <v/>
      </c>
      <c r="N319" s="5" t="n">
        <v>1772.93</v>
      </c>
      <c r="O319" s="5">
        <f>ROUND(M319-N319,2)</f>
        <v/>
      </c>
      <c r="P319" t="inlineStr">
        <is>
          <t>Cobrada</t>
        </is>
      </c>
    </row>
    <row r="320">
      <c r="A320" t="inlineStr">
        <is>
          <t>ING-0319</t>
        </is>
      </c>
      <c r="B320" s="2" t="n">
        <v>45344</v>
      </c>
      <c r="C320" t="inlineStr">
        <is>
          <t>EcoLogística</t>
        </is>
      </c>
      <c r="D320" t="inlineStr">
        <is>
          <t>Retail</t>
        </is>
      </c>
      <c r="E320" t="inlineStr">
        <is>
          <t>Portugal</t>
        </is>
      </c>
      <c r="F320" t="inlineStr">
        <is>
          <t>Publicación de noticias</t>
        </is>
      </c>
      <c r="G320" t="inlineStr">
        <is>
          <t>Retainer trimestral</t>
        </is>
      </c>
      <c r="H320" t="inlineStr">
        <is>
          <t>Campaña empleo</t>
        </is>
      </c>
      <c r="I320" t="n">
        <v>61</v>
      </c>
      <c r="J320" s="5" t="n">
        <v>41.63</v>
      </c>
      <c r="K320" s="5">
        <f>ROUND(I320*J320,2)</f>
        <v/>
      </c>
      <c r="L320" s="3" t="n">
        <v>0.1</v>
      </c>
      <c r="M320" s="5">
        <f>ROUND(K320*(1-L320),2)</f>
        <v/>
      </c>
      <c r="N320" s="5" t="n">
        <v>1247.15</v>
      </c>
      <c r="O320" s="5">
        <f>ROUND(M320-N320,2)</f>
        <v/>
      </c>
      <c r="P320" t="inlineStr">
        <is>
          <t>Cobrada</t>
        </is>
      </c>
    </row>
    <row r="321">
      <c r="A321" t="inlineStr">
        <is>
          <t>ING-0320</t>
        </is>
      </c>
      <c r="B321" s="2" t="n">
        <v>45585</v>
      </c>
      <c r="C321" t="inlineStr">
        <is>
          <t>BioMedic</t>
        </is>
      </c>
      <c r="D321" t="inlineStr">
        <is>
          <t>Turismo</t>
        </is>
      </c>
      <c r="E321" t="inlineStr">
        <is>
          <t>Chile</t>
        </is>
      </c>
      <c r="F321" t="inlineStr">
        <is>
          <t>Generación de noticias</t>
        </is>
      </c>
      <c r="G321" t="inlineStr">
        <is>
          <t>Campaña</t>
        </is>
      </c>
      <c r="H321" t="inlineStr">
        <is>
          <t>Campaña empleo</t>
        </is>
      </c>
      <c r="I321" t="n">
        <v>74</v>
      </c>
      <c r="J321" s="5" t="n">
        <v>57.51</v>
      </c>
      <c r="K321" s="5">
        <f>ROUND(I321*J321,2)</f>
        <v/>
      </c>
      <c r="L321" s="3" t="n">
        <v>0.08</v>
      </c>
      <c r="M321" s="5">
        <f>ROUND(K321*(1-L321),2)</f>
        <v/>
      </c>
      <c r="N321" s="5" t="n">
        <v>1983.49</v>
      </c>
      <c r="O321" s="5">
        <f>ROUND(M321-N321,2)</f>
        <v/>
      </c>
      <c r="P321" t="inlineStr">
        <is>
          <t>Emitida</t>
        </is>
      </c>
    </row>
    <row r="322">
      <c r="A322" t="inlineStr">
        <is>
          <t>ING-0321</t>
        </is>
      </c>
      <c r="B322" s="2" t="n">
        <v>45677</v>
      </c>
      <c r="C322" t="inlineStr">
        <is>
          <t>TalentHub</t>
        </is>
      </c>
      <c r="D322" t="inlineStr">
        <is>
          <t>Industria</t>
        </is>
      </c>
      <c r="E322" t="inlineStr">
        <is>
          <t>Chile</t>
        </is>
      </c>
      <c r="F322" t="inlineStr">
        <is>
          <t>Anuncios prensa</t>
        </is>
      </c>
      <c r="G322" t="inlineStr">
        <is>
          <t>Soporte anual</t>
        </is>
      </c>
      <c r="H322" t="inlineStr">
        <is>
          <t>Intranet comercial</t>
        </is>
      </c>
      <c r="I322" t="n">
        <v>10</v>
      </c>
      <c r="J322" s="5" t="n">
        <v>1078.69</v>
      </c>
      <c r="K322" s="5">
        <f>ROUND(I322*J322,2)</f>
        <v/>
      </c>
      <c r="L322" s="3" t="n">
        <v>0.05</v>
      </c>
      <c r="M322" s="5">
        <f>ROUND(K322*(1-L322),2)</f>
        <v/>
      </c>
      <c r="N322" s="5" t="n">
        <v>3398.7</v>
      </c>
      <c r="O322" s="5">
        <f>ROUND(M322-N322,2)</f>
        <v/>
      </c>
      <c r="P322" t="inlineStr">
        <is>
          <t>Emitida</t>
        </is>
      </c>
    </row>
    <row r="323">
      <c r="A323" t="inlineStr">
        <is>
          <t>ING-0322</t>
        </is>
      </c>
      <c r="B323" s="2" t="n">
        <v>45349</v>
      </c>
      <c r="C323" t="inlineStr">
        <is>
          <t>Retail Vision</t>
        </is>
      </c>
      <c r="D323" t="inlineStr">
        <is>
          <t>RRHH</t>
        </is>
      </c>
      <c r="E323" t="inlineStr">
        <is>
          <t>Portugal</t>
        </is>
      </c>
      <c r="F323" t="inlineStr">
        <is>
          <t>Traducciones</t>
        </is>
      </c>
      <c r="G323" t="inlineStr">
        <is>
          <t>Retainer trimestral</t>
        </is>
      </c>
      <c r="H323" t="inlineStr">
        <is>
          <t>Sección noticias</t>
        </is>
      </c>
      <c r="I323" t="n">
        <v>43</v>
      </c>
      <c r="J323" s="5" t="n">
        <v>50.34</v>
      </c>
      <c r="K323" s="5">
        <f>ROUND(I323*J323,2)</f>
        <v/>
      </c>
      <c r="L323" s="3" t="n">
        <v>0</v>
      </c>
      <c r="M323" s="5">
        <f>ROUND(K323*(1-L323),2)</f>
        <v/>
      </c>
      <c r="N323" s="5" t="n">
        <v>1470.72</v>
      </c>
      <c r="O323" s="5">
        <f>ROUND(M323-N323,2)</f>
        <v/>
      </c>
      <c r="P323" t="inlineStr">
        <is>
          <t>Pendiente</t>
        </is>
      </c>
    </row>
    <row r="324">
      <c r="A324" t="inlineStr">
        <is>
          <t>ING-0323</t>
        </is>
      </c>
      <c r="B324" s="2" t="n">
        <v>45292</v>
      </c>
      <c r="C324" t="inlineStr">
        <is>
          <t>SegurPlus</t>
        </is>
      </c>
      <c r="D324" t="inlineStr">
        <is>
          <t>Retail</t>
        </is>
      </c>
      <c r="E324" t="inlineStr">
        <is>
          <t>Portugal</t>
        </is>
      </c>
      <c r="F324" t="inlineStr">
        <is>
          <t>Anuncios prensa</t>
        </is>
      </c>
      <c r="G324" t="inlineStr">
        <is>
          <t>Suscripción mensual</t>
        </is>
      </c>
      <c r="H324" t="inlineStr">
        <is>
          <t>Centro de prensa</t>
        </is>
      </c>
      <c r="I324" t="n">
        <v>9</v>
      </c>
      <c r="J324" s="5" t="n">
        <v>651.36</v>
      </c>
      <c r="K324" s="5">
        <f>ROUND(I324*J324,2)</f>
        <v/>
      </c>
      <c r="L324" s="3" t="n">
        <v>0.03</v>
      </c>
      <c r="M324" s="5">
        <f>ROUND(K324*(1-L324),2)</f>
        <v/>
      </c>
      <c r="N324" s="5" t="n">
        <v>3279.78</v>
      </c>
      <c r="O324" s="5">
        <f>ROUND(M324-N324,2)</f>
        <v/>
      </c>
      <c r="P324" t="inlineStr">
        <is>
          <t>Pendiente</t>
        </is>
      </c>
    </row>
    <row r="325">
      <c r="A325" t="inlineStr">
        <is>
          <t>ING-0324</t>
        </is>
      </c>
      <c r="B325" s="2" t="n">
        <v>45303</v>
      </c>
      <c r="C325" t="inlineStr">
        <is>
          <t>TurisWorld</t>
        </is>
      </c>
      <c r="D325" t="inlineStr">
        <is>
          <t>Tecnología</t>
        </is>
      </c>
      <c r="E325" t="inlineStr">
        <is>
          <t>México</t>
        </is>
      </c>
      <c r="F325" t="inlineStr">
        <is>
          <t>Anuncios TV</t>
        </is>
      </c>
      <c r="G325" t="inlineStr">
        <is>
          <t>Retainer trimestral</t>
        </is>
      </c>
      <c r="H325" t="inlineStr">
        <is>
          <t>Intranet operaciones</t>
        </is>
      </c>
      <c r="I325" t="n">
        <v>14</v>
      </c>
      <c r="J325" s="5" t="n">
        <v>931.26</v>
      </c>
      <c r="K325" s="5">
        <f>ROUND(I325*J325,2)</f>
        <v/>
      </c>
      <c r="L325" s="3" t="n">
        <v>0</v>
      </c>
      <c r="M325" s="5">
        <f>ROUND(K325*(1-L325),2)</f>
        <v/>
      </c>
      <c r="N325" s="5" t="n">
        <v>7912.87</v>
      </c>
      <c r="O325" s="5">
        <f>ROUND(M325-N325,2)</f>
        <v/>
      </c>
      <c r="P325" t="inlineStr">
        <is>
          <t>Cobrada</t>
        </is>
      </c>
    </row>
    <row r="326">
      <c r="A326" t="inlineStr">
        <is>
          <t>ING-0325</t>
        </is>
      </c>
      <c r="B326" s="2" t="n">
        <v>45738</v>
      </c>
      <c r="C326" t="inlineStr">
        <is>
          <t>TechSphere</t>
        </is>
      </c>
      <c r="D326" t="inlineStr">
        <is>
          <t>RRHH</t>
        </is>
      </c>
      <c r="E326" t="inlineStr">
        <is>
          <t>México</t>
        </is>
      </c>
      <c r="F326" t="inlineStr">
        <is>
          <t>Traducciones</t>
        </is>
      </c>
      <c r="G326" t="inlineStr">
        <is>
          <t>Retainer trimestral</t>
        </is>
      </c>
      <c r="H326" t="inlineStr">
        <is>
          <t>Portal corporativo</t>
        </is>
      </c>
      <c r="I326" t="n">
        <v>17</v>
      </c>
      <c r="J326" s="5" t="n">
        <v>100.05</v>
      </c>
      <c r="K326" s="5">
        <f>ROUND(I326*J326,2)</f>
        <v/>
      </c>
      <c r="L326" s="3" t="n">
        <v>0.08</v>
      </c>
      <c r="M326" s="5">
        <f>ROUND(K326*(1-L326),2)</f>
        <v/>
      </c>
      <c r="N326" s="5" t="n">
        <v>900.8</v>
      </c>
      <c r="O326" s="5">
        <f>ROUND(M326-N326,2)</f>
        <v/>
      </c>
      <c r="P326" t="inlineStr">
        <is>
          <t>Cobrada</t>
        </is>
      </c>
    </row>
    <row r="327">
      <c r="A327" t="inlineStr">
        <is>
          <t>ING-0326</t>
        </is>
      </c>
      <c r="B327" s="2" t="n">
        <v>45674</v>
      </c>
      <c r="C327" t="inlineStr">
        <is>
          <t>EducaPro</t>
        </is>
      </c>
      <c r="D327" t="inlineStr">
        <is>
          <t>Legal</t>
        </is>
      </c>
      <c r="E327" t="inlineStr">
        <is>
          <t>Portugal</t>
        </is>
      </c>
      <c r="F327" t="inlineStr">
        <is>
          <t>Anuncios prensa</t>
        </is>
      </c>
      <c r="G327" t="inlineStr">
        <is>
          <t>Retainer trimestral</t>
        </is>
      </c>
      <c r="H327" t="inlineStr">
        <is>
          <t>Portal corporativo</t>
        </is>
      </c>
      <c r="I327" t="n">
        <v>17</v>
      </c>
      <c r="J327" s="5" t="n">
        <v>1925.67</v>
      </c>
      <c r="K327" s="5">
        <f>ROUND(I327*J327,2)</f>
        <v/>
      </c>
      <c r="L327" s="3" t="n">
        <v>0.08</v>
      </c>
      <c r="M327" s="5">
        <f>ROUND(K327*(1-L327),2)</f>
        <v/>
      </c>
      <c r="N327" s="5" t="n">
        <v>15000.59</v>
      </c>
      <c r="O327" s="5">
        <f>ROUND(M327-N327,2)</f>
        <v/>
      </c>
      <c r="P327" t="inlineStr">
        <is>
          <t>Pendiente</t>
        </is>
      </c>
    </row>
    <row r="328">
      <c r="A328" t="inlineStr">
        <is>
          <t>ING-0327</t>
        </is>
      </c>
      <c r="B328" s="2" t="n">
        <v>45431</v>
      </c>
      <c r="C328" t="inlineStr">
        <is>
          <t>EducaPro</t>
        </is>
      </c>
      <c r="D328" t="inlineStr">
        <is>
          <t>Industria</t>
        </is>
      </c>
      <c r="E328" t="inlineStr">
        <is>
          <t>México</t>
        </is>
      </c>
      <c r="F328" t="inlineStr">
        <is>
          <t>Mantenimiento web</t>
        </is>
      </c>
      <c r="G328" t="inlineStr">
        <is>
          <t>Campaña</t>
        </is>
      </c>
      <c r="H328" t="inlineStr">
        <is>
          <t>Intranet comercial</t>
        </is>
      </c>
      <c r="I328" t="n">
        <v>8</v>
      </c>
      <c r="J328" s="5" t="n">
        <v>3899.98</v>
      </c>
      <c r="K328" s="5">
        <f>ROUND(I328*J328,2)</f>
        <v/>
      </c>
      <c r="L328" s="3" t="n">
        <v>0</v>
      </c>
      <c r="M328" s="5">
        <f>ROUND(K328*(1-L328),2)</f>
        <v/>
      </c>
      <c r="N328" s="5" t="n">
        <v>9751.450000000001</v>
      </c>
      <c r="O328" s="5">
        <f>ROUND(M328-N328,2)</f>
        <v/>
      </c>
      <c r="P328" t="inlineStr">
        <is>
          <t>Cobrada</t>
        </is>
      </c>
    </row>
    <row r="329">
      <c r="A329" t="inlineStr">
        <is>
          <t>ING-0328</t>
        </is>
      </c>
      <c r="B329" s="2" t="n">
        <v>45508</v>
      </c>
      <c r="C329" t="inlineStr">
        <is>
          <t>Smart Factory</t>
        </is>
      </c>
      <c r="D329" t="inlineStr">
        <is>
          <t>Medios</t>
        </is>
      </c>
      <c r="E329" t="inlineStr">
        <is>
          <t>Chile</t>
        </is>
      </c>
      <c r="F329" t="inlineStr">
        <is>
          <t>Publicación de noticias</t>
        </is>
      </c>
      <c r="G329" t="inlineStr">
        <is>
          <t>Soporte anual</t>
        </is>
      </c>
      <c r="H329" t="inlineStr">
        <is>
          <t>Campaña empleo</t>
        </is>
      </c>
      <c r="I329" t="n">
        <v>85</v>
      </c>
      <c r="J329" s="5" t="n">
        <v>92.70999999999999</v>
      </c>
      <c r="K329" s="5">
        <f>ROUND(I329*J329,2)</f>
        <v/>
      </c>
      <c r="L329" s="3" t="n">
        <v>0.1</v>
      </c>
      <c r="M329" s="5">
        <f>ROUND(K329*(1-L329),2)</f>
        <v/>
      </c>
      <c r="N329" s="5" t="n">
        <v>2868.28</v>
      </c>
      <c r="O329" s="5">
        <f>ROUND(M329-N329,2)</f>
        <v/>
      </c>
      <c r="P329" t="inlineStr">
        <is>
          <t>Pendiente</t>
        </is>
      </c>
    </row>
    <row r="330">
      <c r="A330" t="inlineStr">
        <is>
          <t>ING-0329</t>
        </is>
      </c>
      <c r="B330" s="2" t="n">
        <v>45487</v>
      </c>
      <c r="C330" t="inlineStr">
        <is>
          <t>Retail Vision</t>
        </is>
      </c>
      <c r="D330" t="inlineStr">
        <is>
          <t>Turismo</t>
        </is>
      </c>
      <c r="E330" t="inlineStr">
        <is>
          <t>España</t>
        </is>
      </c>
      <c r="F330" t="inlineStr">
        <is>
          <t>Anuncios prensa</t>
        </is>
      </c>
      <c r="G330" t="inlineStr">
        <is>
          <t>Retainer trimestral</t>
        </is>
      </c>
      <c r="H330" t="inlineStr">
        <is>
          <t>Portal internacional</t>
        </is>
      </c>
      <c r="I330" t="n">
        <v>19</v>
      </c>
      <c r="J330" s="5" t="n">
        <v>1184.81</v>
      </c>
      <c r="K330" s="5">
        <f>ROUND(I330*J330,2)</f>
        <v/>
      </c>
      <c r="L330" s="3" t="n">
        <v>0.08</v>
      </c>
      <c r="M330" s="5">
        <f>ROUND(K330*(1-L330),2)</f>
        <v/>
      </c>
      <c r="N330" s="5" t="n">
        <v>14633.21</v>
      </c>
      <c r="O330" s="5">
        <f>ROUND(M330-N330,2)</f>
        <v/>
      </c>
      <c r="P330" t="inlineStr">
        <is>
          <t>Cobrada</t>
        </is>
      </c>
    </row>
    <row r="331">
      <c r="A331" t="inlineStr">
        <is>
          <t>ING-0330</t>
        </is>
      </c>
      <c r="B331" s="2" t="n">
        <v>45598</v>
      </c>
      <c r="C331" t="inlineStr">
        <is>
          <t>TurisWorld</t>
        </is>
      </c>
      <c r="D331" t="inlineStr">
        <is>
          <t>Salud</t>
        </is>
      </c>
      <c r="E331" t="inlineStr">
        <is>
          <t>Colombia</t>
        </is>
      </c>
      <c r="F331" t="inlineStr">
        <is>
          <t>Anuncios RRHH</t>
        </is>
      </c>
      <c r="G331" t="inlineStr">
        <is>
          <t>Retainer trimestral</t>
        </is>
      </c>
      <c r="H331" t="inlineStr">
        <is>
          <t>Campaña empleo</t>
        </is>
      </c>
      <c r="I331" t="n">
        <v>5</v>
      </c>
      <c r="J331" s="5" t="n">
        <v>441.67</v>
      </c>
      <c r="K331" s="5">
        <f>ROUND(I331*J331,2)</f>
        <v/>
      </c>
      <c r="L331" s="3" t="n">
        <v>0.1</v>
      </c>
      <c r="M331" s="5">
        <f>ROUND(K331*(1-L331),2)</f>
        <v/>
      </c>
      <c r="N331" s="5" t="n">
        <v>680.0700000000001</v>
      </c>
      <c r="O331" s="5">
        <f>ROUND(M331-N331,2)</f>
        <v/>
      </c>
      <c r="P331" t="inlineStr">
        <is>
          <t>Cobrada</t>
        </is>
      </c>
    </row>
    <row r="332">
      <c r="A332" t="inlineStr">
        <is>
          <t>ING-0331</t>
        </is>
      </c>
      <c r="B332" s="2" t="n">
        <v>45641</v>
      </c>
      <c r="C332" t="inlineStr">
        <is>
          <t>Nova Salud</t>
        </is>
      </c>
      <c r="D332" t="inlineStr">
        <is>
          <t>Finanzas</t>
        </is>
      </c>
      <c r="E332" t="inlineStr">
        <is>
          <t>Chile</t>
        </is>
      </c>
      <c r="F332" t="inlineStr">
        <is>
          <t>Mantenimiento web</t>
        </is>
      </c>
      <c r="G332" t="inlineStr">
        <is>
          <t>Soporte anual</t>
        </is>
      </c>
      <c r="H332" t="inlineStr">
        <is>
          <t>Microsite RRHH</t>
        </is>
      </c>
      <c r="I332" t="n">
        <v>2</v>
      </c>
      <c r="J332" s="5" t="n">
        <v>1153.38</v>
      </c>
      <c r="K332" s="5">
        <f>ROUND(I332*J332,2)</f>
        <v/>
      </c>
      <c r="L332" s="3" t="n">
        <v>0</v>
      </c>
      <c r="M332" s="5">
        <f>ROUND(K332*(1-L332),2)</f>
        <v/>
      </c>
      <c r="N332" s="5" t="n">
        <v>654.66</v>
      </c>
      <c r="O332" s="5">
        <f>ROUND(M332-N332,2)</f>
        <v/>
      </c>
      <c r="P332" t="inlineStr">
        <is>
          <t>Cobrada</t>
        </is>
      </c>
    </row>
    <row r="333">
      <c r="A333" t="inlineStr">
        <is>
          <t>ING-0332</t>
        </is>
      </c>
      <c r="B333" s="2" t="n">
        <v>45343</v>
      </c>
      <c r="C333" t="inlineStr">
        <is>
          <t>TalentHub</t>
        </is>
      </c>
      <c r="D333" t="inlineStr">
        <is>
          <t>Logística</t>
        </is>
      </c>
      <c r="E333" t="inlineStr">
        <is>
          <t>México</t>
        </is>
      </c>
      <c r="F333" t="inlineStr">
        <is>
          <t>Anuncios RRHH</t>
        </is>
      </c>
      <c r="G333" t="inlineStr">
        <is>
          <t>Retainer trimestral</t>
        </is>
      </c>
      <c r="H333" t="inlineStr">
        <is>
          <t>Portal internacional</t>
        </is>
      </c>
      <c r="I333" t="n">
        <v>15</v>
      </c>
      <c r="J333" s="5" t="n">
        <v>2443.28</v>
      </c>
      <c r="K333" s="5">
        <f>ROUND(I333*J333,2)</f>
        <v/>
      </c>
      <c r="L333" s="3" t="n">
        <v>0.08</v>
      </c>
      <c r="M333" s="5">
        <f>ROUND(K333*(1-L333),2)</f>
        <v/>
      </c>
      <c r="N333" s="5" t="n">
        <v>19368.23</v>
      </c>
      <c r="O333" s="5">
        <f>ROUND(M333-N333,2)</f>
        <v/>
      </c>
      <c r="P333" t="inlineStr">
        <is>
          <t>Emitida</t>
        </is>
      </c>
    </row>
    <row r="334">
      <c r="A334" t="inlineStr">
        <is>
          <t>ING-0333</t>
        </is>
      </c>
      <c r="B334" s="2" t="n">
        <v>45625</v>
      </c>
      <c r="C334" t="inlineStr">
        <is>
          <t>Retail Vision</t>
        </is>
      </c>
      <c r="D334" t="inlineStr">
        <is>
          <t>Turismo</t>
        </is>
      </c>
      <c r="E334" t="inlineStr">
        <is>
          <t>Portugal</t>
        </is>
      </c>
      <c r="F334" t="inlineStr">
        <is>
          <t>Anuncios prensa</t>
        </is>
      </c>
      <c r="G334" t="inlineStr">
        <is>
          <t>Retainer trimestral</t>
        </is>
      </c>
      <c r="H334" t="inlineStr">
        <is>
          <t>Centro de prensa</t>
        </is>
      </c>
      <c r="I334" t="n">
        <v>2</v>
      </c>
      <c r="J334" s="5" t="n">
        <v>265.51</v>
      </c>
      <c r="K334" s="5">
        <f>ROUND(I334*J334,2)</f>
        <v/>
      </c>
      <c r="L334" s="3" t="n">
        <v>0</v>
      </c>
      <c r="M334" s="5">
        <f>ROUND(K334*(1-L334),2)</f>
        <v/>
      </c>
      <c r="N334" s="5" t="n">
        <v>268.41</v>
      </c>
      <c r="O334" s="5">
        <f>ROUND(M334-N334,2)</f>
        <v/>
      </c>
      <c r="P334" t="inlineStr">
        <is>
          <t>Emitida</t>
        </is>
      </c>
    </row>
    <row r="335">
      <c r="A335" t="inlineStr">
        <is>
          <t>ING-0334</t>
        </is>
      </c>
      <c r="B335" s="2" t="n">
        <v>45671</v>
      </c>
      <c r="C335" t="inlineStr">
        <is>
          <t>Prensa Local 24</t>
        </is>
      </c>
      <c r="D335" t="inlineStr">
        <is>
          <t>Logística</t>
        </is>
      </c>
      <c r="E335" t="inlineStr">
        <is>
          <t>Colombia</t>
        </is>
      </c>
      <c r="F335" t="inlineStr">
        <is>
          <t>Generación de noticias</t>
        </is>
      </c>
      <c r="G335" t="inlineStr">
        <is>
          <t>Campaña</t>
        </is>
      </c>
      <c r="H335" t="inlineStr">
        <is>
          <t>Intranet operaciones</t>
        </is>
      </c>
      <c r="I335" t="n">
        <v>53</v>
      </c>
      <c r="J335" s="5" t="n">
        <v>135.54</v>
      </c>
      <c r="K335" s="5">
        <f>ROUND(I335*J335,2)</f>
        <v/>
      </c>
      <c r="L335" s="3" t="n">
        <v>0.05</v>
      </c>
      <c r="M335" s="5">
        <f>ROUND(K335*(1-L335),2)</f>
        <v/>
      </c>
      <c r="N335" s="5" t="n">
        <v>2642.14</v>
      </c>
      <c r="O335" s="5">
        <f>ROUND(M335-N335,2)</f>
        <v/>
      </c>
      <c r="P335" t="inlineStr">
        <is>
          <t>Emitida</t>
        </is>
      </c>
    </row>
    <row r="336">
      <c r="A336" t="inlineStr">
        <is>
          <t>ING-0335</t>
        </is>
      </c>
      <c r="B336" s="2" t="n">
        <v>45451</v>
      </c>
      <c r="C336" t="inlineStr">
        <is>
          <t>SegurPlus</t>
        </is>
      </c>
      <c r="D336" t="inlineStr">
        <is>
          <t>Administración pública</t>
        </is>
      </c>
      <c r="E336" t="inlineStr">
        <is>
          <t>México</t>
        </is>
      </c>
      <c r="F336" t="inlineStr">
        <is>
          <t>Anuncios RRHH</t>
        </is>
      </c>
      <c r="G336" t="inlineStr">
        <is>
          <t>Campaña</t>
        </is>
      </c>
      <c r="H336" t="inlineStr">
        <is>
          <t>Intranet operaciones</t>
        </is>
      </c>
      <c r="I336" t="n">
        <v>10</v>
      </c>
      <c r="J336" s="5" t="n">
        <v>530.3</v>
      </c>
      <c r="K336" s="5">
        <f>ROUND(I336*J336,2)</f>
        <v/>
      </c>
      <c r="L336" s="3" t="n">
        <v>0.03</v>
      </c>
      <c r="M336" s="5">
        <f>ROUND(K336*(1-L336),2)</f>
        <v/>
      </c>
      <c r="N336" s="5" t="n">
        <v>3196.02</v>
      </c>
      <c r="O336" s="5">
        <f>ROUND(M336-N336,2)</f>
        <v/>
      </c>
      <c r="P336" t="inlineStr">
        <is>
          <t>Pendiente</t>
        </is>
      </c>
    </row>
    <row r="337">
      <c r="A337" t="inlineStr">
        <is>
          <t>ING-0336</t>
        </is>
      </c>
      <c r="B337" s="2" t="n">
        <v>45455</v>
      </c>
      <c r="C337" t="inlineStr">
        <is>
          <t>BioMedic</t>
        </is>
      </c>
      <c r="D337" t="inlineStr">
        <is>
          <t>Finanzas</t>
        </is>
      </c>
      <c r="E337" t="inlineStr">
        <is>
          <t>Chile</t>
        </is>
      </c>
      <c r="F337" t="inlineStr">
        <is>
          <t>Mantenimiento web</t>
        </is>
      </c>
      <c r="G337" t="inlineStr">
        <is>
          <t>Soporte anual</t>
        </is>
      </c>
      <c r="H337" t="inlineStr">
        <is>
          <t>Portal corporativo</t>
        </is>
      </c>
      <c r="I337" t="n">
        <v>8</v>
      </c>
      <c r="J337" s="5" t="n">
        <v>3717.06</v>
      </c>
      <c r="K337" s="5">
        <f>ROUND(I337*J337,2)</f>
        <v/>
      </c>
      <c r="L337" s="3" t="n">
        <v>0.05</v>
      </c>
      <c r="M337" s="5">
        <f>ROUND(K337*(1-L337),2)</f>
        <v/>
      </c>
      <c r="N337" s="5" t="n">
        <v>11379.09</v>
      </c>
      <c r="O337" s="5">
        <f>ROUND(M337-N337,2)</f>
        <v/>
      </c>
      <c r="P337" t="inlineStr">
        <is>
          <t>Emitida</t>
        </is>
      </c>
    </row>
    <row r="338">
      <c r="A338" t="inlineStr">
        <is>
          <t>ING-0337</t>
        </is>
      </c>
      <c r="B338" s="2" t="n">
        <v>45693</v>
      </c>
      <c r="C338" t="inlineStr">
        <is>
          <t>FinanData</t>
        </is>
      </c>
      <c r="D338" t="inlineStr">
        <is>
          <t>Medios</t>
        </is>
      </c>
      <c r="E338" t="inlineStr">
        <is>
          <t>Portugal</t>
        </is>
      </c>
      <c r="F338" t="inlineStr">
        <is>
          <t>Mantenimiento intranets</t>
        </is>
      </c>
      <c r="G338" t="inlineStr">
        <is>
          <t>Campaña</t>
        </is>
      </c>
      <c r="H338" t="inlineStr">
        <is>
          <t>Portal internacional</t>
        </is>
      </c>
      <c r="I338" t="n">
        <v>5</v>
      </c>
      <c r="J338" s="5" t="n">
        <v>3776.15</v>
      </c>
      <c r="K338" s="5">
        <f>ROUND(I338*J338,2)</f>
        <v/>
      </c>
      <c r="L338" s="3" t="n">
        <v>0.1</v>
      </c>
      <c r="M338" s="5">
        <f>ROUND(K338*(1-L338),2)</f>
        <v/>
      </c>
      <c r="N338" s="5" t="n">
        <v>11831.25</v>
      </c>
      <c r="O338" s="5">
        <f>ROUND(M338-N338,2)</f>
        <v/>
      </c>
      <c r="P338" t="inlineStr">
        <is>
          <t>Cobrada</t>
        </is>
      </c>
    </row>
    <row r="339">
      <c r="A339" t="inlineStr">
        <is>
          <t>ING-0338</t>
        </is>
      </c>
      <c r="B339" s="2" t="n">
        <v>45469</v>
      </c>
      <c r="C339" t="inlineStr">
        <is>
          <t>BioMedic</t>
        </is>
      </c>
      <c r="D339" t="inlineStr">
        <is>
          <t>Salud</t>
        </is>
      </c>
      <c r="E339" t="inlineStr">
        <is>
          <t>España</t>
        </is>
      </c>
      <c r="F339" t="inlineStr">
        <is>
          <t>Mantenimiento web</t>
        </is>
      </c>
      <c r="G339" t="inlineStr">
        <is>
          <t>Campaña</t>
        </is>
      </c>
      <c r="H339" t="inlineStr">
        <is>
          <t>Sección noticias</t>
        </is>
      </c>
      <c r="I339" t="n">
        <v>7</v>
      </c>
      <c r="J339" s="5" t="n">
        <v>3177.45</v>
      </c>
      <c r="K339" s="5">
        <f>ROUND(I339*J339,2)</f>
        <v/>
      </c>
      <c r="L339" s="3" t="n">
        <v>0</v>
      </c>
      <c r="M339" s="5">
        <f>ROUND(K339*(1-L339),2)</f>
        <v/>
      </c>
      <c r="N339" s="5" t="n">
        <v>11333.91</v>
      </c>
      <c r="O339" s="5">
        <f>ROUND(M339-N339,2)</f>
        <v/>
      </c>
      <c r="P339" t="inlineStr">
        <is>
          <t>Emitida</t>
        </is>
      </c>
    </row>
    <row r="340">
      <c r="A340" t="inlineStr">
        <is>
          <t>ING-0339</t>
        </is>
      </c>
      <c r="B340" s="2" t="n">
        <v>45523</v>
      </c>
      <c r="C340" t="inlineStr">
        <is>
          <t>Legal360</t>
        </is>
      </c>
      <c r="D340" t="inlineStr">
        <is>
          <t>Industria</t>
        </is>
      </c>
      <c r="E340" t="inlineStr">
        <is>
          <t>Colombia</t>
        </is>
      </c>
      <c r="F340" t="inlineStr">
        <is>
          <t>Publicación de noticias</t>
        </is>
      </c>
      <c r="G340" t="inlineStr">
        <is>
          <t>Retainer trimestral</t>
        </is>
      </c>
      <c r="H340" t="inlineStr">
        <is>
          <t>Microsite RRHH</t>
        </is>
      </c>
      <c r="I340" t="n">
        <v>42</v>
      </c>
      <c r="J340" s="5" t="n">
        <v>65.34999999999999</v>
      </c>
      <c r="K340" s="5">
        <f>ROUND(I340*J340,2)</f>
        <v/>
      </c>
      <c r="L340" s="3" t="n">
        <v>0</v>
      </c>
      <c r="M340" s="5">
        <f>ROUND(K340*(1-L340),2)</f>
        <v/>
      </c>
      <c r="N340" s="5" t="n">
        <v>1585.45</v>
      </c>
      <c r="O340" s="5">
        <f>ROUND(M340-N340,2)</f>
        <v/>
      </c>
      <c r="P340" t="inlineStr">
        <is>
          <t>Cobrada</t>
        </is>
      </c>
    </row>
    <row r="341">
      <c r="A341" t="inlineStr">
        <is>
          <t>ING-0340</t>
        </is>
      </c>
      <c r="B341" s="2" t="n">
        <v>45655</v>
      </c>
      <c r="C341" t="inlineStr">
        <is>
          <t>Innova Retail</t>
        </is>
      </c>
      <c r="D341" t="inlineStr">
        <is>
          <t>Educación</t>
        </is>
      </c>
      <c r="E341" t="inlineStr">
        <is>
          <t>México</t>
        </is>
      </c>
      <c r="F341" t="inlineStr">
        <is>
          <t>Traducciones</t>
        </is>
      </c>
      <c r="G341" t="inlineStr">
        <is>
          <t>Soporte anual</t>
        </is>
      </c>
      <c r="H341" t="inlineStr">
        <is>
          <t>Centro de prensa</t>
        </is>
      </c>
      <c r="I341" t="n">
        <v>8</v>
      </c>
      <c r="J341" s="5" t="n">
        <v>54.51</v>
      </c>
      <c r="K341" s="5">
        <f>ROUND(I341*J341,2)</f>
        <v/>
      </c>
      <c r="L341" s="3" t="n">
        <v>0.08</v>
      </c>
      <c r="M341" s="5">
        <f>ROUND(K341*(1-L341),2)</f>
        <v/>
      </c>
      <c r="N341" s="5" t="n">
        <v>142.19</v>
      </c>
      <c r="O341" s="5">
        <f>ROUND(M341-N341,2)</f>
        <v/>
      </c>
      <c r="P341" t="inlineStr">
        <is>
          <t>Pendiente</t>
        </is>
      </c>
    </row>
    <row r="342">
      <c r="A342" t="inlineStr">
        <is>
          <t>ING-0341</t>
        </is>
      </c>
      <c r="B342" s="2" t="n">
        <v>45299</v>
      </c>
      <c r="C342" t="inlineStr">
        <is>
          <t>Innova Retail</t>
        </is>
      </c>
      <c r="D342" t="inlineStr">
        <is>
          <t>Industria</t>
        </is>
      </c>
      <c r="E342" t="inlineStr">
        <is>
          <t>Chile</t>
        </is>
      </c>
      <c r="F342" t="inlineStr">
        <is>
          <t>Anuncios prensa</t>
        </is>
      </c>
      <c r="G342" t="inlineStr">
        <is>
          <t>Soporte anual</t>
        </is>
      </c>
      <c r="H342" t="inlineStr">
        <is>
          <t>Microsite RRHH</t>
        </is>
      </c>
      <c r="I342" t="n">
        <v>2</v>
      </c>
      <c r="J342" s="5" t="n">
        <v>1937.16</v>
      </c>
      <c r="K342" s="5">
        <f>ROUND(I342*J342,2)</f>
        <v/>
      </c>
      <c r="L342" s="3" t="n">
        <v>0.05</v>
      </c>
      <c r="M342" s="5">
        <f>ROUND(K342*(1-L342),2)</f>
        <v/>
      </c>
      <c r="N342" s="5" t="n">
        <v>2600.26</v>
      </c>
      <c r="O342" s="5">
        <f>ROUND(M342-N342,2)</f>
        <v/>
      </c>
      <c r="P342" t="inlineStr">
        <is>
          <t>Pendiente</t>
        </is>
      </c>
    </row>
    <row r="343">
      <c r="A343" t="inlineStr">
        <is>
          <t>ING-0342</t>
        </is>
      </c>
      <c r="B343" s="2" t="n">
        <v>45587</v>
      </c>
      <c r="C343" t="inlineStr">
        <is>
          <t>Smart Factory</t>
        </is>
      </c>
      <c r="D343" t="inlineStr">
        <is>
          <t>Tecnología</t>
        </is>
      </c>
      <c r="E343" t="inlineStr">
        <is>
          <t>Colombia</t>
        </is>
      </c>
      <c r="F343" t="inlineStr">
        <is>
          <t>Anuncios internet</t>
        </is>
      </c>
      <c r="G343" t="inlineStr">
        <is>
          <t>Suscripción mensual</t>
        </is>
      </c>
      <c r="H343" t="inlineStr">
        <is>
          <t>Centro de prensa</t>
        </is>
      </c>
      <c r="I343" t="n">
        <v>6</v>
      </c>
      <c r="J343" s="5" t="n">
        <v>610.33</v>
      </c>
      <c r="K343" s="5">
        <f>ROUND(I343*J343,2)</f>
        <v/>
      </c>
      <c r="L343" s="3" t="n">
        <v>0.05</v>
      </c>
      <c r="M343" s="5">
        <f>ROUND(K343*(1-L343),2)</f>
        <v/>
      </c>
      <c r="N343" s="5" t="n">
        <v>1040.1</v>
      </c>
      <c r="O343" s="5">
        <f>ROUND(M343-N343,2)</f>
        <v/>
      </c>
      <c r="P343" t="inlineStr">
        <is>
          <t>Emitida</t>
        </is>
      </c>
    </row>
    <row r="344">
      <c r="A344" t="inlineStr">
        <is>
          <t>ING-0343</t>
        </is>
      </c>
      <c r="B344" s="2" t="n">
        <v>45330</v>
      </c>
      <c r="C344" t="inlineStr">
        <is>
          <t>FinanData</t>
        </is>
      </c>
      <c r="D344" t="inlineStr">
        <is>
          <t>RRHH</t>
        </is>
      </c>
      <c r="E344" t="inlineStr">
        <is>
          <t>España</t>
        </is>
      </c>
      <c r="F344" t="inlineStr">
        <is>
          <t>Anuncios prensa</t>
        </is>
      </c>
      <c r="G344" t="inlineStr">
        <is>
          <t>Proyecto puntual</t>
        </is>
      </c>
      <c r="H344" t="inlineStr">
        <is>
          <t>Portal corporativo</t>
        </is>
      </c>
      <c r="I344" t="n">
        <v>29</v>
      </c>
      <c r="J344" s="5" t="n">
        <v>535.66</v>
      </c>
      <c r="K344" s="5">
        <f>ROUND(I344*J344,2)</f>
        <v/>
      </c>
      <c r="L344" s="3" t="n">
        <v>0</v>
      </c>
      <c r="M344" s="5">
        <f>ROUND(K344*(1-L344),2)</f>
        <v/>
      </c>
      <c r="N344" s="5" t="n">
        <v>9307.33</v>
      </c>
      <c r="O344" s="5">
        <f>ROUND(M344-N344,2)</f>
        <v/>
      </c>
      <c r="P344" t="inlineStr">
        <is>
          <t>Pendiente</t>
        </is>
      </c>
    </row>
    <row r="345">
      <c r="A345" t="inlineStr">
        <is>
          <t>ING-0344</t>
        </is>
      </c>
      <c r="B345" s="2" t="n">
        <v>45408</v>
      </c>
      <c r="C345" t="inlineStr">
        <is>
          <t>Legal360</t>
        </is>
      </c>
      <c r="D345" t="inlineStr">
        <is>
          <t>Tecnología</t>
        </is>
      </c>
      <c r="E345" t="inlineStr">
        <is>
          <t>Chile</t>
        </is>
      </c>
      <c r="F345" t="inlineStr">
        <is>
          <t>Generación de noticias</t>
        </is>
      </c>
      <c r="G345" t="inlineStr">
        <is>
          <t>Campaña</t>
        </is>
      </c>
      <c r="H345" t="inlineStr">
        <is>
          <t>Portal corporativo</t>
        </is>
      </c>
      <c r="I345" t="n">
        <v>99</v>
      </c>
      <c r="J345" s="5" t="n">
        <v>146.36</v>
      </c>
      <c r="K345" s="5">
        <f>ROUND(I345*J345,2)</f>
        <v/>
      </c>
      <c r="L345" s="3" t="n">
        <v>0.05</v>
      </c>
      <c r="M345" s="5">
        <f>ROUND(K345*(1-L345),2)</f>
        <v/>
      </c>
      <c r="N345" s="5" t="n">
        <v>6605.16</v>
      </c>
      <c r="O345" s="5">
        <f>ROUND(M345-N345,2)</f>
        <v/>
      </c>
      <c r="P345" t="inlineStr">
        <is>
          <t>Pendiente</t>
        </is>
      </c>
    </row>
    <row r="346">
      <c r="A346" t="inlineStr">
        <is>
          <t>ING-0345</t>
        </is>
      </c>
      <c r="B346" s="2" t="n">
        <v>45381</v>
      </c>
      <c r="C346" t="inlineStr">
        <is>
          <t>Fundación Horizonte</t>
        </is>
      </c>
      <c r="D346" t="inlineStr">
        <is>
          <t>Retail</t>
        </is>
      </c>
      <c r="E346" t="inlineStr">
        <is>
          <t>España</t>
        </is>
      </c>
      <c r="F346" t="inlineStr">
        <is>
          <t>Anuncios RRHH</t>
        </is>
      </c>
      <c r="G346" t="inlineStr">
        <is>
          <t>Soporte anual</t>
        </is>
      </c>
      <c r="H346" t="inlineStr">
        <is>
          <t>Campaña empleo</t>
        </is>
      </c>
      <c r="I346" t="n">
        <v>13</v>
      </c>
      <c r="J346" s="5" t="n">
        <v>2460.99</v>
      </c>
      <c r="K346" s="5">
        <f>ROUND(I346*J346,2)</f>
        <v/>
      </c>
      <c r="L346" s="3" t="n">
        <v>0.08</v>
      </c>
      <c r="M346" s="5">
        <f>ROUND(K346*(1-L346),2)</f>
        <v/>
      </c>
      <c r="N346" s="5" t="n">
        <v>21039.65</v>
      </c>
      <c r="O346" s="5">
        <f>ROUND(M346-N346,2)</f>
        <v/>
      </c>
      <c r="P346" t="inlineStr">
        <is>
          <t>Cobrada</t>
        </is>
      </c>
    </row>
    <row r="347">
      <c r="A347" t="inlineStr">
        <is>
          <t>ING-0346</t>
        </is>
      </c>
      <c r="B347" s="2" t="n">
        <v>45316</v>
      </c>
      <c r="C347" t="inlineStr">
        <is>
          <t>Nova Salud</t>
        </is>
      </c>
      <c r="D347" t="inlineStr">
        <is>
          <t>Medios</t>
        </is>
      </c>
      <c r="E347" t="inlineStr">
        <is>
          <t>Colombia</t>
        </is>
      </c>
      <c r="F347" t="inlineStr">
        <is>
          <t>Generación de noticias</t>
        </is>
      </c>
      <c r="G347" t="inlineStr">
        <is>
          <t>Retainer trimestral</t>
        </is>
      </c>
      <c r="H347" t="inlineStr">
        <is>
          <t>Centro de prensa</t>
        </is>
      </c>
      <c r="I347" t="n">
        <v>107</v>
      </c>
      <c r="J347" s="5" t="n">
        <v>145.34</v>
      </c>
      <c r="K347" s="5">
        <f>ROUND(I347*J347,2)</f>
        <v/>
      </c>
      <c r="L347" s="3" t="n">
        <v>0.1</v>
      </c>
      <c r="M347" s="5">
        <f>ROUND(K347*(1-L347),2)</f>
        <v/>
      </c>
      <c r="N347" s="5" t="n">
        <v>10240.67</v>
      </c>
      <c r="O347" s="5">
        <f>ROUND(M347-N347,2)</f>
        <v/>
      </c>
      <c r="P347" t="inlineStr">
        <is>
          <t>Cobrada</t>
        </is>
      </c>
    </row>
    <row r="348">
      <c r="A348" t="inlineStr">
        <is>
          <t>ING-0347</t>
        </is>
      </c>
      <c r="B348" s="2" t="n">
        <v>45724</v>
      </c>
      <c r="C348" t="inlineStr">
        <is>
          <t>EducaPro</t>
        </is>
      </c>
      <c r="D348" t="inlineStr">
        <is>
          <t>Educación</t>
        </is>
      </c>
      <c r="E348" t="inlineStr">
        <is>
          <t>Portugal</t>
        </is>
      </c>
      <c r="F348" t="inlineStr">
        <is>
          <t>Generación de noticias</t>
        </is>
      </c>
      <c r="G348" t="inlineStr">
        <is>
          <t>Proyecto puntual</t>
        </is>
      </c>
      <c r="H348" t="inlineStr">
        <is>
          <t>Sección noticias</t>
        </is>
      </c>
      <c r="I348" t="n">
        <v>48</v>
      </c>
      <c r="J348" s="5" t="n">
        <v>143.57</v>
      </c>
      <c r="K348" s="5">
        <f>ROUND(I348*J348,2)</f>
        <v/>
      </c>
      <c r="L348" s="3" t="n">
        <v>0.1</v>
      </c>
      <c r="M348" s="5">
        <f>ROUND(K348*(1-L348),2)</f>
        <v/>
      </c>
      <c r="N348" s="5" t="n">
        <v>4300.44</v>
      </c>
      <c r="O348" s="5">
        <f>ROUND(M348-N348,2)</f>
        <v/>
      </c>
      <c r="P348" t="inlineStr">
        <is>
          <t>Cobrada</t>
        </is>
      </c>
    </row>
    <row r="349">
      <c r="A349" t="inlineStr">
        <is>
          <t>ING-0348</t>
        </is>
      </c>
      <c r="B349" s="2" t="n">
        <v>45543</v>
      </c>
      <c r="C349" t="inlineStr">
        <is>
          <t>Smart Factory</t>
        </is>
      </c>
      <c r="D349" t="inlineStr">
        <is>
          <t>RRHH</t>
        </is>
      </c>
      <c r="E349" t="inlineStr">
        <is>
          <t>España</t>
        </is>
      </c>
      <c r="F349" t="inlineStr">
        <is>
          <t>Generación de noticias</t>
        </is>
      </c>
      <c r="G349" t="inlineStr">
        <is>
          <t>Campaña</t>
        </is>
      </c>
      <c r="H349" t="inlineStr">
        <is>
          <t>Intranet operaciones</t>
        </is>
      </c>
      <c r="I349" t="n">
        <v>83</v>
      </c>
      <c r="J349" s="5" t="n">
        <v>147.15</v>
      </c>
      <c r="K349" s="5">
        <f>ROUND(I349*J349,2)</f>
        <v/>
      </c>
      <c r="L349" s="3" t="n">
        <v>0.05</v>
      </c>
      <c r="M349" s="5">
        <f>ROUND(K349*(1-L349),2)</f>
        <v/>
      </c>
      <c r="N349" s="5" t="n">
        <v>6892.22</v>
      </c>
      <c r="O349" s="5">
        <f>ROUND(M349-N349,2)</f>
        <v/>
      </c>
      <c r="P349" t="inlineStr">
        <is>
          <t>Emitida</t>
        </is>
      </c>
    </row>
    <row r="350">
      <c r="A350" t="inlineStr">
        <is>
          <t>ING-0349</t>
        </is>
      </c>
      <c r="B350" s="2" t="n">
        <v>45736</v>
      </c>
      <c r="C350" t="inlineStr">
        <is>
          <t>Prensa Local 24</t>
        </is>
      </c>
      <c r="D350" t="inlineStr">
        <is>
          <t>Legal</t>
        </is>
      </c>
      <c r="E350" t="inlineStr">
        <is>
          <t>Colombia</t>
        </is>
      </c>
      <c r="F350" t="inlineStr">
        <is>
          <t>Mantenimiento intranets</t>
        </is>
      </c>
      <c r="G350" t="inlineStr">
        <is>
          <t>Proyecto puntual</t>
        </is>
      </c>
      <c r="H350" t="inlineStr">
        <is>
          <t>Intranet comercial</t>
        </is>
      </c>
      <c r="I350" t="n">
        <v>3</v>
      </c>
      <c r="J350" s="5" t="n">
        <v>2661.43</v>
      </c>
      <c r="K350" s="5">
        <f>ROUND(I350*J350,2)</f>
        <v/>
      </c>
      <c r="L350" s="3" t="n">
        <v>0.05</v>
      </c>
      <c r="M350" s="5">
        <f>ROUND(K350*(1-L350),2)</f>
        <v/>
      </c>
      <c r="N350" s="5" t="n">
        <v>2101.49</v>
      </c>
      <c r="O350" s="5">
        <f>ROUND(M350-N350,2)</f>
        <v/>
      </c>
      <c r="P350" t="inlineStr">
        <is>
          <t>Cobrada</t>
        </is>
      </c>
    </row>
    <row r="351">
      <c r="A351" t="inlineStr">
        <is>
          <t>ING-0350</t>
        </is>
      </c>
      <c r="B351" s="2" t="n">
        <v>45693</v>
      </c>
      <c r="C351" t="inlineStr">
        <is>
          <t>EcoLogística</t>
        </is>
      </c>
      <c r="D351" t="inlineStr">
        <is>
          <t>Finanzas</t>
        </is>
      </c>
      <c r="E351" t="inlineStr">
        <is>
          <t>España</t>
        </is>
      </c>
      <c r="F351" t="inlineStr">
        <is>
          <t>Mantenimiento web</t>
        </is>
      </c>
      <c r="G351" t="inlineStr">
        <is>
          <t>Retainer trimestral</t>
        </is>
      </c>
      <c r="H351" t="inlineStr">
        <is>
          <t>Portal internacional</t>
        </is>
      </c>
      <c r="I351" t="n">
        <v>1</v>
      </c>
      <c r="J351" s="5" t="n">
        <v>3784.31</v>
      </c>
      <c r="K351" s="5">
        <f>ROUND(I351*J351,2)</f>
        <v/>
      </c>
      <c r="L351" s="3" t="n">
        <v>0.1</v>
      </c>
      <c r="M351" s="5">
        <f>ROUND(K351*(1-L351),2)</f>
        <v/>
      </c>
      <c r="N351" s="5" t="n">
        <v>1055.54</v>
      </c>
      <c r="O351" s="5">
        <f>ROUND(M351-N351,2)</f>
        <v/>
      </c>
      <c r="P351" t="inlineStr">
        <is>
          <t>Pendiente</t>
        </is>
      </c>
    </row>
    <row r="352">
      <c r="A352" t="inlineStr">
        <is>
          <t>ING-0351</t>
        </is>
      </c>
      <c r="B352" s="2" t="n">
        <v>45409</v>
      </c>
      <c r="C352" t="inlineStr">
        <is>
          <t>SegurPlus</t>
        </is>
      </c>
      <c r="D352" t="inlineStr">
        <is>
          <t>RRHH</t>
        </is>
      </c>
      <c r="E352" t="inlineStr">
        <is>
          <t>Chile</t>
        </is>
      </c>
      <c r="F352" t="inlineStr">
        <is>
          <t>Mantenimiento intranets</t>
        </is>
      </c>
      <c r="G352" t="inlineStr">
        <is>
          <t>Soporte anual</t>
        </is>
      </c>
      <c r="H352" t="inlineStr">
        <is>
          <t>Sección noticias</t>
        </is>
      </c>
      <c r="I352" t="n">
        <v>7</v>
      </c>
      <c r="J352" s="5" t="n">
        <v>3091.97</v>
      </c>
      <c r="K352" s="5">
        <f>ROUND(I352*J352,2)</f>
        <v/>
      </c>
      <c r="L352" s="3" t="n">
        <v>0.03</v>
      </c>
      <c r="M352" s="5">
        <f>ROUND(K352*(1-L352),2)</f>
        <v/>
      </c>
      <c r="N352" s="5" t="n">
        <v>12789.65</v>
      </c>
      <c r="O352" s="5">
        <f>ROUND(M352-N352,2)</f>
        <v/>
      </c>
      <c r="P352" t="inlineStr">
        <is>
          <t>Pendiente</t>
        </is>
      </c>
    </row>
    <row r="353">
      <c r="A353" t="inlineStr">
        <is>
          <t>ING-0352</t>
        </is>
      </c>
      <c r="B353" s="2" t="n">
        <v>45731</v>
      </c>
      <c r="C353" t="inlineStr">
        <is>
          <t>Innova Retail</t>
        </is>
      </c>
      <c r="D353" t="inlineStr">
        <is>
          <t>Legal</t>
        </is>
      </c>
      <c r="E353" t="inlineStr">
        <is>
          <t>España</t>
        </is>
      </c>
      <c r="F353" t="inlineStr">
        <is>
          <t>Mantenimiento intranets</t>
        </is>
      </c>
      <c r="G353" t="inlineStr">
        <is>
          <t>Campaña</t>
        </is>
      </c>
      <c r="H353" t="inlineStr">
        <is>
          <t>Intranet operaciones</t>
        </is>
      </c>
      <c r="I353" t="n">
        <v>4</v>
      </c>
      <c r="J353" s="5" t="n">
        <v>4071.95</v>
      </c>
      <c r="K353" s="5">
        <f>ROUND(I353*J353,2)</f>
        <v/>
      </c>
      <c r="L353" s="3" t="n">
        <v>0.05</v>
      </c>
      <c r="M353" s="5">
        <f>ROUND(K353*(1-L353),2)</f>
        <v/>
      </c>
      <c r="N353" s="5" t="n">
        <v>4154.7</v>
      </c>
      <c r="O353" s="5">
        <f>ROUND(M353-N353,2)</f>
        <v/>
      </c>
      <c r="P353" t="inlineStr">
        <is>
          <t>Pendiente</t>
        </is>
      </c>
    </row>
    <row r="354">
      <c r="A354" t="inlineStr">
        <is>
          <t>ING-0353</t>
        </is>
      </c>
      <c r="B354" s="2" t="n">
        <v>45380</v>
      </c>
      <c r="C354" t="inlineStr">
        <is>
          <t>Ayuntamiento Norte</t>
        </is>
      </c>
      <c r="D354" t="inlineStr">
        <is>
          <t>Turismo</t>
        </is>
      </c>
      <c r="E354" t="inlineStr">
        <is>
          <t>México</t>
        </is>
      </c>
      <c r="F354" t="inlineStr">
        <is>
          <t>Generación de noticias</t>
        </is>
      </c>
      <c r="G354" t="inlineStr">
        <is>
          <t>Retainer trimestral</t>
        </is>
      </c>
      <c r="H354" t="inlineStr">
        <is>
          <t>Centro de prensa</t>
        </is>
      </c>
      <c r="I354" t="n">
        <v>120</v>
      </c>
      <c r="J354" s="5" t="n">
        <v>49.37</v>
      </c>
      <c r="K354" s="5">
        <f>ROUND(I354*J354,2)</f>
        <v/>
      </c>
      <c r="L354" s="3" t="n">
        <v>0.03</v>
      </c>
      <c r="M354" s="5">
        <f>ROUND(K354*(1-L354),2)</f>
        <v/>
      </c>
      <c r="N354" s="5" t="n">
        <v>2563.98</v>
      </c>
      <c r="O354" s="5">
        <f>ROUND(M354-N354,2)</f>
        <v/>
      </c>
      <c r="P354" t="inlineStr">
        <is>
          <t>Cobrada</t>
        </is>
      </c>
    </row>
    <row r="355">
      <c r="A355" t="inlineStr">
        <is>
          <t>ING-0354</t>
        </is>
      </c>
      <c r="B355" s="2" t="n">
        <v>45644</v>
      </c>
      <c r="C355" t="inlineStr">
        <is>
          <t>EducaPro</t>
        </is>
      </c>
      <c r="D355" t="inlineStr">
        <is>
          <t>Industria</t>
        </is>
      </c>
      <c r="E355" t="inlineStr">
        <is>
          <t>Chile</t>
        </is>
      </c>
      <c r="F355" t="inlineStr">
        <is>
          <t>Mantenimiento web</t>
        </is>
      </c>
      <c r="G355" t="inlineStr">
        <is>
          <t>Soporte anual</t>
        </is>
      </c>
      <c r="H355" t="inlineStr">
        <is>
          <t>Campaña empleo</t>
        </is>
      </c>
      <c r="I355" t="n">
        <v>4</v>
      </c>
      <c r="J355" s="5" t="n">
        <v>3850.02</v>
      </c>
      <c r="K355" s="5">
        <f>ROUND(I355*J355,2)</f>
        <v/>
      </c>
      <c r="L355" s="3" t="n">
        <v>0.05</v>
      </c>
      <c r="M355" s="5">
        <f>ROUND(K355*(1-L355),2)</f>
        <v/>
      </c>
      <c r="N355" s="5" t="n">
        <v>9670.84</v>
      </c>
      <c r="O355" s="5">
        <f>ROUND(M355-N355,2)</f>
        <v/>
      </c>
      <c r="P355" t="inlineStr">
        <is>
          <t>Pendiente</t>
        </is>
      </c>
    </row>
    <row r="356">
      <c r="A356" t="inlineStr">
        <is>
          <t>ING-0355</t>
        </is>
      </c>
      <c r="B356" s="2" t="n">
        <v>45701</v>
      </c>
      <c r="C356" t="inlineStr">
        <is>
          <t>SegurPlus</t>
        </is>
      </c>
      <c r="D356" t="inlineStr">
        <is>
          <t>Finanzas</t>
        </is>
      </c>
      <c r="E356" t="inlineStr">
        <is>
          <t>Chile</t>
        </is>
      </c>
      <c r="F356" t="inlineStr">
        <is>
          <t>Anuncios TV</t>
        </is>
      </c>
      <c r="G356" t="inlineStr">
        <is>
          <t>Suscripción mensual</t>
        </is>
      </c>
      <c r="H356" t="inlineStr">
        <is>
          <t>Sección noticias</t>
        </is>
      </c>
      <c r="I356" t="n">
        <v>2</v>
      </c>
      <c r="J356" s="5" t="n">
        <v>1658.2</v>
      </c>
      <c r="K356" s="5">
        <f>ROUND(I356*J356,2)</f>
        <v/>
      </c>
      <c r="L356" s="3" t="n">
        <v>0.08</v>
      </c>
      <c r="M356" s="5">
        <f>ROUND(K356*(1-L356),2)</f>
        <v/>
      </c>
      <c r="N356" s="5" t="n">
        <v>1757.33</v>
      </c>
      <c r="O356" s="5">
        <f>ROUND(M356-N356,2)</f>
        <v/>
      </c>
      <c r="P356" t="inlineStr">
        <is>
          <t>Cobrada</t>
        </is>
      </c>
    </row>
    <row r="357">
      <c r="A357" t="inlineStr">
        <is>
          <t>ING-0356</t>
        </is>
      </c>
      <c r="B357" s="2" t="n">
        <v>45489</v>
      </c>
      <c r="C357" t="inlineStr">
        <is>
          <t>Smart Factory</t>
        </is>
      </c>
      <c r="D357" t="inlineStr">
        <is>
          <t>Logística</t>
        </is>
      </c>
      <c r="E357" t="inlineStr">
        <is>
          <t>Chile</t>
        </is>
      </c>
      <c r="F357" t="inlineStr">
        <is>
          <t>Anuncios TV</t>
        </is>
      </c>
      <c r="G357" t="inlineStr">
        <is>
          <t>Campaña</t>
        </is>
      </c>
      <c r="H357" t="inlineStr">
        <is>
          <t>Sección noticias</t>
        </is>
      </c>
      <c r="I357" t="n">
        <v>23</v>
      </c>
      <c r="J357" s="5" t="n">
        <v>750.3200000000001</v>
      </c>
      <c r="K357" s="5">
        <f>ROUND(I357*J357,2)</f>
        <v/>
      </c>
      <c r="L357" s="3" t="n">
        <v>0.1</v>
      </c>
      <c r="M357" s="5">
        <f>ROUND(K357*(1-L357),2)</f>
        <v/>
      </c>
      <c r="N357" s="5" t="n">
        <v>8313.129999999999</v>
      </c>
      <c r="O357" s="5">
        <f>ROUND(M357-N357,2)</f>
        <v/>
      </c>
      <c r="P357" t="inlineStr">
        <is>
          <t>Pendiente</t>
        </is>
      </c>
    </row>
    <row r="358">
      <c r="A358" t="inlineStr">
        <is>
          <t>ING-0357</t>
        </is>
      </c>
      <c r="B358" s="2" t="n">
        <v>45720</v>
      </c>
      <c r="C358" t="inlineStr">
        <is>
          <t>ClinicPoint</t>
        </is>
      </c>
      <c r="D358" t="inlineStr">
        <is>
          <t>Educación</t>
        </is>
      </c>
      <c r="E358" t="inlineStr">
        <is>
          <t>México</t>
        </is>
      </c>
      <c r="F358" t="inlineStr">
        <is>
          <t>Mantenimiento web</t>
        </is>
      </c>
      <c r="G358" t="inlineStr">
        <is>
          <t>Campaña</t>
        </is>
      </c>
      <c r="H358" t="inlineStr">
        <is>
          <t>Sección noticias</t>
        </is>
      </c>
      <c r="I358" t="n">
        <v>6</v>
      </c>
      <c r="J358" s="5" t="n">
        <v>2632.47</v>
      </c>
      <c r="K358" s="5">
        <f>ROUND(I358*J358,2)</f>
        <v/>
      </c>
      <c r="L358" s="3" t="n">
        <v>0.03</v>
      </c>
      <c r="M358" s="5">
        <f>ROUND(K358*(1-L358),2)</f>
        <v/>
      </c>
      <c r="N358" s="5" t="n">
        <v>8723.84</v>
      </c>
      <c r="O358" s="5">
        <f>ROUND(M358-N358,2)</f>
        <v/>
      </c>
      <c r="P358" t="inlineStr">
        <is>
          <t>Cobrada</t>
        </is>
      </c>
    </row>
    <row r="359">
      <c r="A359" t="inlineStr">
        <is>
          <t>ING-0358</t>
        </is>
      </c>
      <c r="B359" s="2" t="n">
        <v>45568</v>
      </c>
      <c r="C359" t="inlineStr">
        <is>
          <t>EcoLogística</t>
        </is>
      </c>
      <c r="D359" t="inlineStr">
        <is>
          <t>RRHH</t>
        </is>
      </c>
      <c r="E359" t="inlineStr">
        <is>
          <t>México</t>
        </is>
      </c>
      <c r="F359" t="inlineStr">
        <is>
          <t>Mantenimiento intranets</t>
        </is>
      </c>
      <c r="G359" t="inlineStr">
        <is>
          <t>Proyecto puntual</t>
        </is>
      </c>
      <c r="H359" t="inlineStr">
        <is>
          <t>Centro de prensa</t>
        </is>
      </c>
      <c r="I359" t="n">
        <v>2</v>
      </c>
      <c r="J359" s="5" t="n">
        <v>4002.65</v>
      </c>
      <c r="K359" s="5">
        <f>ROUND(I359*J359,2)</f>
        <v/>
      </c>
      <c r="L359" s="3" t="n">
        <v>0</v>
      </c>
      <c r="M359" s="5">
        <f>ROUND(K359*(1-L359),2)</f>
        <v/>
      </c>
      <c r="N359" s="5" t="n">
        <v>5397.12</v>
      </c>
      <c r="O359" s="5">
        <f>ROUND(M359-N359,2)</f>
        <v/>
      </c>
      <c r="P359" t="inlineStr">
        <is>
          <t>Emitida</t>
        </is>
      </c>
    </row>
    <row r="360">
      <c r="A360" t="inlineStr">
        <is>
          <t>ING-0359</t>
        </is>
      </c>
      <c r="B360" s="2" t="n">
        <v>45413</v>
      </c>
      <c r="C360" t="inlineStr">
        <is>
          <t>Retail Vision</t>
        </is>
      </c>
      <c r="D360" t="inlineStr">
        <is>
          <t>Educación</t>
        </is>
      </c>
      <c r="E360" t="inlineStr">
        <is>
          <t>Portugal</t>
        </is>
      </c>
      <c r="F360" t="inlineStr">
        <is>
          <t>Anuncios TV</t>
        </is>
      </c>
      <c r="G360" t="inlineStr">
        <is>
          <t>Suscripción mensual</t>
        </is>
      </c>
      <c r="H360" t="inlineStr">
        <is>
          <t>Intranet operaciones</t>
        </is>
      </c>
      <c r="I360" t="n">
        <v>20</v>
      </c>
      <c r="J360" s="5" t="n">
        <v>1206.4</v>
      </c>
      <c r="K360" s="5">
        <f>ROUND(I360*J360,2)</f>
        <v/>
      </c>
      <c r="L360" s="3" t="n">
        <v>0</v>
      </c>
      <c r="M360" s="5">
        <f>ROUND(K360*(1-L360),2)</f>
        <v/>
      </c>
      <c r="N360" s="5" t="n">
        <v>11442.17</v>
      </c>
      <c r="O360" s="5">
        <f>ROUND(M360-N360,2)</f>
        <v/>
      </c>
      <c r="P360" t="inlineStr">
        <is>
          <t>Cobrada</t>
        </is>
      </c>
    </row>
    <row r="361">
      <c r="A361" t="inlineStr">
        <is>
          <t>ING-0360</t>
        </is>
      </c>
      <c r="B361" s="2" t="n">
        <v>45555</v>
      </c>
      <c r="C361" t="inlineStr">
        <is>
          <t>Nova Salud</t>
        </is>
      </c>
      <c r="D361" t="inlineStr">
        <is>
          <t>RRHH</t>
        </is>
      </c>
      <c r="E361" t="inlineStr">
        <is>
          <t>Chile</t>
        </is>
      </c>
      <c r="F361" t="inlineStr">
        <is>
          <t>Publicación de noticias</t>
        </is>
      </c>
      <c r="G361" t="inlineStr">
        <is>
          <t>Soporte anual</t>
        </is>
      </c>
      <c r="H361" t="inlineStr">
        <is>
          <t>Campaña empleo</t>
        </is>
      </c>
      <c r="I361" t="n">
        <v>31</v>
      </c>
      <c r="J361" s="5" t="n">
        <v>177.68</v>
      </c>
      <c r="K361" s="5">
        <f>ROUND(I361*J361,2)</f>
        <v/>
      </c>
      <c r="L361" s="3" t="n">
        <v>0</v>
      </c>
      <c r="M361" s="5">
        <f>ROUND(K361*(1-L361),2)</f>
        <v/>
      </c>
      <c r="N361" s="5" t="n">
        <v>2601.67</v>
      </c>
      <c r="O361" s="5">
        <f>ROUND(M361-N361,2)</f>
        <v/>
      </c>
      <c r="P361" t="inlineStr">
        <is>
          <t>Emitida</t>
        </is>
      </c>
    </row>
    <row r="362">
      <c r="A362" t="inlineStr">
        <is>
          <t>ING-0361</t>
        </is>
      </c>
      <c r="B362" s="2" t="n">
        <v>45381</v>
      </c>
      <c r="C362" t="inlineStr">
        <is>
          <t>Grupo Atlas</t>
        </is>
      </c>
      <c r="D362" t="inlineStr">
        <is>
          <t>Salud</t>
        </is>
      </c>
      <c r="E362" t="inlineStr">
        <is>
          <t>España</t>
        </is>
      </c>
      <c r="F362" t="inlineStr">
        <is>
          <t>Traducciones</t>
        </is>
      </c>
      <c r="G362" t="inlineStr">
        <is>
          <t>Soporte anual</t>
        </is>
      </c>
      <c r="H362" t="inlineStr">
        <is>
          <t>Microsite RRHH</t>
        </is>
      </c>
      <c r="I362" t="n">
        <v>109</v>
      </c>
      <c r="J362" s="5" t="n">
        <v>56.38</v>
      </c>
      <c r="K362" s="5">
        <f>ROUND(I362*J362,2)</f>
        <v/>
      </c>
      <c r="L362" s="3" t="n">
        <v>0.05</v>
      </c>
      <c r="M362" s="5">
        <f>ROUND(K362*(1-L362),2)</f>
        <v/>
      </c>
      <c r="N362" s="5" t="n">
        <v>2025.39</v>
      </c>
      <c r="O362" s="5">
        <f>ROUND(M362-N362,2)</f>
        <v/>
      </c>
      <c r="P362" t="inlineStr">
        <is>
          <t>Cobrada</t>
        </is>
      </c>
    </row>
    <row r="363">
      <c r="A363" t="inlineStr">
        <is>
          <t>ING-0362</t>
        </is>
      </c>
      <c r="B363" s="2" t="n">
        <v>45615</v>
      </c>
      <c r="C363" t="inlineStr">
        <is>
          <t>Smart Factory</t>
        </is>
      </c>
      <c r="D363" t="inlineStr">
        <is>
          <t>Medios</t>
        </is>
      </c>
      <c r="E363" t="inlineStr">
        <is>
          <t>Chile</t>
        </is>
      </c>
      <c r="F363" t="inlineStr">
        <is>
          <t>Anuncios prensa</t>
        </is>
      </c>
      <c r="G363" t="inlineStr">
        <is>
          <t>Campaña</t>
        </is>
      </c>
      <c r="H363" t="inlineStr">
        <is>
          <t>Microsite RRHH</t>
        </is>
      </c>
      <c r="I363" t="n">
        <v>3</v>
      </c>
      <c r="J363" s="5" t="n">
        <v>2288.6</v>
      </c>
      <c r="K363" s="5">
        <f>ROUND(I363*J363,2)</f>
        <v/>
      </c>
      <c r="L363" s="3" t="n">
        <v>0</v>
      </c>
      <c r="M363" s="5">
        <f>ROUND(K363*(1-L363),2)</f>
        <v/>
      </c>
      <c r="N363" s="5" t="n">
        <v>3215.98</v>
      </c>
      <c r="O363" s="5">
        <f>ROUND(M363-N363,2)</f>
        <v/>
      </c>
      <c r="P363" t="inlineStr">
        <is>
          <t>Emitida</t>
        </is>
      </c>
    </row>
    <row r="364">
      <c r="A364" t="inlineStr">
        <is>
          <t>ING-0363</t>
        </is>
      </c>
      <c r="B364" s="2" t="n">
        <v>45699</v>
      </c>
      <c r="C364" t="inlineStr">
        <is>
          <t>EducaPro</t>
        </is>
      </c>
      <c r="D364" t="inlineStr">
        <is>
          <t>Turismo</t>
        </is>
      </c>
      <c r="E364" t="inlineStr">
        <is>
          <t>España</t>
        </is>
      </c>
      <c r="F364" t="inlineStr">
        <is>
          <t>Anuncios TV</t>
        </is>
      </c>
      <c r="G364" t="inlineStr">
        <is>
          <t>Proyecto puntual</t>
        </is>
      </c>
      <c r="H364" t="inlineStr">
        <is>
          <t>Centro de prensa</t>
        </is>
      </c>
      <c r="I364" t="n">
        <v>28</v>
      </c>
      <c r="J364" s="5" t="n">
        <v>844.36</v>
      </c>
      <c r="K364" s="5">
        <f>ROUND(I364*J364,2)</f>
        <v/>
      </c>
      <c r="L364" s="3" t="n">
        <v>0.03</v>
      </c>
      <c r="M364" s="5">
        <f>ROUND(K364*(1-L364),2)</f>
        <v/>
      </c>
      <c r="N364" s="5" t="n">
        <v>9699.110000000001</v>
      </c>
      <c r="O364" s="5">
        <f>ROUND(M364-N364,2)</f>
        <v/>
      </c>
      <c r="P364" t="inlineStr">
        <is>
          <t>Pendiente</t>
        </is>
      </c>
    </row>
    <row r="365">
      <c r="A365" t="inlineStr">
        <is>
          <t>ING-0364</t>
        </is>
      </c>
      <c r="B365" s="2" t="n">
        <v>45692</v>
      </c>
      <c r="C365" t="inlineStr">
        <is>
          <t>Prensa Local 24</t>
        </is>
      </c>
      <c r="D365" t="inlineStr">
        <is>
          <t>Medios</t>
        </is>
      </c>
      <c r="E365" t="inlineStr">
        <is>
          <t>Portugal</t>
        </is>
      </c>
      <c r="F365" t="inlineStr">
        <is>
          <t>Mantenimiento intranets</t>
        </is>
      </c>
      <c r="G365" t="inlineStr">
        <is>
          <t>Proyecto puntual</t>
        </is>
      </c>
      <c r="H365" t="inlineStr">
        <is>
          <t>Portal internacional</t>
        </is>
      </c>
      <c r="I365" t="n">
        <v>1</v>
      </c>
      <c r="J365" s="5" t="n">
        <v>3730.21</v>
      </c>
      <c r="K365" s="5">
        <f>ROUND(I365*J365,2)</f>
        <v/>
      </c>
      <c r="L365" s="3" t="n">
        <v>0.03</v>
      </c>
      <c r="M365" s="5">
        <f>ROUND(K365*(1-L365),2)</f>
        <v/>
      </c>
      <c r="N365" s="5" t="n">
        <v>1375.84</v>
      </c>
      <c r="O365" s="5">
        <f>ROUND(M365-N365,2)</f>
        <v/>
      </c>
      <c r="P365" t="inlineStr">
        <is>
          <t>Cobrada</t>
        </is>
      </c>
    </row>
    <row r="366">
      <c r="A366" t="inlineStr">
        <is>
          <t>ING-0365</t>
        </is>
      </c>
      <c r="B366" s="2" t="n">
        <v>45300</v>
      </c>
      <c r="C366" t="inlineStr">
        <is>
          <t>Campus One</t>
        </is>
      </c>
      <c r="D366" t="inlineStr">
        <is>
          <t>Administración pública</t>
        </is>
      </c>
      <c r="E366" t="inlineStr">
        <is>
          <t>Portugal</t>
        </is>
      </c>
      <c r="F366" t="inlineStr">
        <is>
          <t>Anuncios RRHH</t>
        </is>
      </c>
      <c r="G366" t="inlineStr">
        <is>
          <t>Suscripción mensual</t>
        </is>
      </c>
      <c r="H366" t="inlineStr">
        <is>
          <t>Portal internacional</t>
        </is>
      </c>
      <c r="I366" t="n">
        <v>3</v>
      </c>
      <c r="J366" s="5" t="n">
        <v>158.58</v>
      </c>
      <c r="K366" s="5">
        <f>ROUND(I366*J366,2)</f>
        <v/>
      </c>
      <c r="L366" s="3" t="n">
        <v>0.03</v>
      </c>
      <c r="M366" s="5">
        <f>ROUND(K366*(1-L366),2)</f>
        <v/>
      </c>
      <c r="N366" s="5" t="n">
        <v>268.95</v>
      </c>
      <c r="O366" s="5">
        <f>ROUND(M366-N366,2)</f>
        <v/>
      </c>
      <c r="P366" t="inlineStr">
        <is>
          <t>Cobrada</t>
        </is>
      </c>
    </row>
    <row r="367">
      <c r="A367" t="inlineStr">
        <is>
          <t>ING-0366</t>
        </is>
      </c>
      <c r="B367" s="2" t="n">
        <v>45644</v>
      </c>
      <c r="C367" t="inlineStr">
        <is>
          <t>Nova Salud</t>
        </is>
      </c>
      <c r="D367" t="inlineStr">
        <is>
          <t>Administración pública</t>
        </is>
      </c>
      <c r="E367" t="inlineStr">
        <is>
          <t>Colombia</t>
        </is>
      </c>
      <c r="F367" t="inlineStr">
        <is>
          <t>Anuncios prensa</t>
        </is>
      </c>
      <c r="G367" t="inlineStr">
        <is>
          <t>Campaña</t>
        </is>
      </c>
      <c r="H367" t="inlineStr">
        <is>
          <t>Microsite RRHH</t>
        </is>
      </c>
      <c r="I367" t="n">
        <v>28</v>
      </c>
      <c r="J367" s="5" t="n">
        <v>325.15</v>
      </c>
      <c r="K367" s="5">
        <f>ROUND(I367*J367,2)</f>
        <v/>
      </c>
      <c r="L367" s="3" t="n">
        <v>0.03</v>
      </c>
      <c r="M367" s="5">
        <f>ROUND(K367*(1-L367),2)</f>
        <v/>
      </c>
      <c r="N367" s="5" t="n">
        <v>2352.58</v>
      </c>
      <c r="O367" s="5">
        <f>ROUND(M367-N367,2)</f>
        <v/>
      </c>
      <c r="P367" t="inlineStr">
        <is>
          <t>Emitida</t>
        </is>
      </c>
    </row>
    <row r="368">
      <c r="A368" t="inlineStr">
        <is>
          <t>ING-0367</t>
        </is>
      </c>
      <c r="B368" s="2" t="n">
        <v>45445</v>
      </c>
      <c r="C368" t="inlineStr">
        <is>
          <t>EducaPro</t>
        </is>
      </c>
      <c r="D368" t="inlineStr">
        <is>
          <t>RRHH</t>
        </is>
      </c>
      <c r="E368" t="inlineStr">
        <is>
          <t>España</t>
        </is>
      </c>
      <c r="F368" t="inlineStr">
        <is>
          <t>Traducciones</t>
        </is>
      </c>
      <c r="G368" t="inlineStr">
        <is>
          <t>Proyecto puntual</t>
        </is>
      </c>
      <c r="H368" t="inlineStr">
        <is>
          <t>Centro de prensa</t>
        </is>
      </c>
      <c r="I368" t="n">
        <v>120</v>
      </c>
      <c r="J368" s="5" t="n">
        <v>130.62</v>
      </c>
      <c r="K368" s="5">
        <f>ROUND(I368*J368,2)</f>
        <v/>
      </c>
      <c r="L368" s="3" t="n">
        <v>0</v>
      </c>
      <c r="M368" s="5">
        <f>ROUND(K368*(1-L368),2)</f>
        <v/>
      </c>
      <c r="N368" s="5" t="n">
        <v>10093.58</v>
      </c>
      <c r="O368" s="5">
        <f>ROUND(M368-N368,2)</f>
        <v/>
      </c>
      <c r="P368" t="inlineStr">
        <is>
          <t>Cobrada</t>
        </is>
      </c>
    </row>
    <row r="369">
      <c r="A369" t="inlineStr">
        <is>
          <t>ING-0368</t>
        </is>
      </c>
      <c r="B369" s="2" t="n">
        <v>45594</v>
      </c>
      <c r="C369" t="inlineStr">
        <is>
          <t>Ayuntamiento Norte</t>
        </is>
      </c>
      <c r="D369" t="inlineStr">
        <is>
          <t>Logística</t>
        </is>
      </c>
      <c r="E369" t="inlineStr">
        <is>
          <t>Colombia</t>
        </is>
      </c>
      <c r="F369" t="inlineStr">
        <is>
          <t>Anuncios TV</t>
        </is>
      </c>
      <c r="G369" t="inlineStr">
        <is>
          <t>Suscripción mensual</t>
        </is>
      </c>
      <c r="H369" t="inlineStr">
        <is>
          <t>Portal corporativo</t>
        </is>
      </c>
      <c r="I369" t="n">
        <v>5</v>
      </c>
      <c r="J369" s="5" t="n">
        <v>1087.23</v>
      </c>
      <c r="K369" s="5">
        <f>ROUND(I369*J369,2)</f>
        <v/>
      </c>
      <c r="L369" s="3" t="n">
        <v>0.03</v>
      </c>
      <c r="M369" s="5">
        <f>ROUND(K369*(1-L369),2)</f>
        <v/>
      </c>
      <c r="N369" s="5" t="n">
        <v>3271.03</v>
      </c>
      <c r="O369" s="5">
        <f>ROUND(M369-N369,2)</f>
        <v/>
      </c>
      <c r="P369" t="inlineStr">
        <is>
          <t>Pendiente</t>
        </is>
      </c>
    </row>
    <row r="370">
      <c r="A370" t="inlineStr">
        <is>
          <t>ING-0369</t>
        </is>
      </c>
      <c r="B370" s="2" t="n">
        <v>45364</v>
      </c>
      <c r="C370" t="inlineStr">
        <is>
          <t>EcoLogística</t>
        </is>
      </c>
      <c r="D370" t="inlineStr">
        <is>
          <t>Legal</t>
        </is>
      </c>
      <c r="E370" t="inlineStr">
        <is>
          <t>Chile</t>
        </is>
      </c>
      <c r="F370" t="inlineStr">
        <is>
          <t>Mantenimiento intranets</t>
        </is>
      </c>
      <c r="G370" t="inlineStr">
        <is>
          <t>Soporte anual</t>
        </is>
      </c>
      <c r="H370" t="inlineStr">
        <is>
          <t>Microsite RRHH</t>
        </is>
      </c>
      <c r="I370" t="n">
        <v>7</v>
      </c>
      <c r="J370" s="5" t="n">
        <v>2873.65</v>
      </c>
      <c r="K370" s="5">
        <f>ROUND(I370*J370,2)</f>
        <v/>
      </c>
      <c r="L370" s="3" t="n">
        <v>0</v>
      </c>
      <c r="M370" s="5">
        <f>ROUND(K370*(1-L370),2)</f>
        <v/>
      </c>
      <c r="N370" s="5" t="n">
        <v>7573.62</v>
      </c>
      <c r="O370" s="5">
        <f>ROUND(M370-N370,2)</f>
        <v/>
      </c>
      <c r="P370" t="inlineStr">
        <is>
          <t>Cobrada</t>
        </is>
      </c>
    </row>
    <row r="371">
      <c r="A371" t="inlineStr">
        <is>
          <t>ING-0370</t>
        </is>
      </c>
      <c r="B371" s="2" t="n">
        <v>45576</v>
      </c>
      <c r="C371" t="inlineStr">
        <is>
          <t>TalentHub</t>
        </is>
      </c>
      <c r="D371" t="inlineStr">
        <is>
          <t>Medios</t>
        </is>
      </c>
      <c r="E371" t="inlineStr">
        <is>
          <t>Chile</t>
        </is>
      </c>
      <c r="F371" t="inlineStr">
        <is>
          <t>Anuncios internet</t>
        </is>
      </c>
      <c r="G371" t="inlineStr">
        <is>
          <t>Suscripción mensual</t>
        </is>
      </c>
      <c r="H371" t="inlineStr">
        <is>
          <t>Intranet operaciones</t>
        </is>
      </c>
      <c r="I371" t="n">
        <v>18</v>
      </c>
      <c r="J371" s="5" t="n">
        <v>700.09</v>
      </c>
      <c r="K371" s="5">
        <f>ROUND(I371*J371,2)</f>
        <v/>
      </c>
      <c r="L371" s="3" t="n">
        <v>0.08</v>
      </c>
      <c r="M371" s="5">
        <f>ROUND(K371*(1-L371),2)</f>
        <v/>
      </c>
      <c r="N371" s="5" t="n">
        <v>5499.12</v>
      </c>
      <c r="O371" s="5">
        <f>ROUND(M371-N371,2)</f>
        <v/>
      </c>
      <c r="P371" t="inlineStr">
        <is>
          <t>Pendiente</t>
        </is>
      </c>
    </row>
    <row r="372">
      <c r="A372" t="inlineStr">
        <is>
          <t>ING-0371</t>
        </is>
      </c>
      <c r="B372" s="2" t="n">
        <v>45594</v>
      </c>
      <c r="C372" t="inlineStr">
        <is>
          <t>Legal360</t>
        </is>
      </c>
      <c r="D372" t="inlineStr">
        <is>
          <t>Retail</t>
        </is>
      </c>
      <c r="E372" t="inlineStr">
        <is>
          <t>México</t>
        </is>
      </c>
      <c r="F372" t="inlineStr">
        <is>
          <t>Anuncios internet</t>
        </is>
      </c>
      <c r="G372" t="inlineStr">
        <is>
          <t>Campaña</t>
        </is>
      </c>
      <c r="H372" t="inlineStr">
        <is>
          <t>Intranet comercial</t>
        </is>
      </c>
      <c r="I372" t="n">
        <v>4</v>
      </c>
      <c r="J372" s="5" t="n">
        <v>1005.6</v>
      </c>
      <c r="K372" s="5">
        <f>ROUND(I372*J372,2)</f>
        <v/>
      </c>
      <c r="L372" s="3" t="n">
        <v>0.08</v>
      </c>
      <c r="M372" s="5">
        <f>ROUND(K372*(1-L372),2)</f>
        <v/>
      </c>
      <c r="N372" s="5" t="n">
        <v>1647.28</v>
      </c>
      <c r="O372" s="5">
        <f>ROUND(M372-N372,2)</f>
        <v/>
      </c>
      <c r="P372" t="inlineStr">
        <is>
          <t>Cobrada</t>
        </is>
      </c>
    </row>
    <row r="373">
      <c r="A373" t="inlineStr">
        <is>
          <t>ING-0372</t>
        </is>
      </c>
      <c r="B373" s="2" t="n">
        <v>45336</v>
      </c>
      <c r="C373" t="inlineStr">
        <is>
          <t>FinanData</t>
        </is>
      </c>
      <c r="D373" t="inlineStr">
        <is>
          <t>Administración pública</t>
        </is>
      </c>
      <c r="E373" t="inlineStr">
        <is>
          <t>México</t>
        </is>
      </c>
      <c r="F373" t="inlineStr">
        <is>
          <t>Anuncios prensa</t>
        </is>
      </c>
      <c r="G373" t="inlineStr">
        <is>
          <t>Campaña</t>
        </is>
      </c>
      <c r="H373" t="inlineStr">
        <is>
          <t>Sección noticias</t>
        </is>
      </c>
      <c r="I373" t="n">
        <v>24</v>
      </c>
      <c r="J373" s="5" t="n">
        <v>1547.55</v>
      </c>
      <c r="K373" s="5">
        <f>ROUND(I373*J373,2)</f>
        <v/>
      </c>
      <c r="L373" s="3" t="n">
        <v>0.05</v>
      </c>
      <c r="M373" s="5">
        <f>ROUND(K373*(1-L373),2)</f>
        <v/>
      </c>
      <c r="N373" s="5" t="n">
        <v>11305.65</v>
      </c>
      <c r="O373" s="5">
        <f>ROUND(M373-N373,2)</f>
        <v/>
      </c>
      <c r="P373" t="inlineStr">
        <is>
          <t>Emitida</t>
        </is>
      </c>
    </row>
    <row r="374">
      <c r="A374" t="inlineStr">
        <is>
          <t>ING-0373</t>
        </is>
      </c>
      <c r="B374" s="2" t="n">
        <v>45584</v>
      </c>
      <c r="C374" t="inlineStr">
        <is>
          <t>Industrias Vega</t>
        </is>
      </c>
      <c r="D374" t="inlineStr">
        <is>
          <t>Retail</t>
        </is>
      </c>
      <c r="E374" t="inlineStr">
        <is>
          <t>España</t>
        </is>
      </c>
      <c r="F374" t="inlineStr">
        <is>
          <t>Generación de noticias</t>
        </is>
      </c>
      <c r="G374" t="inlineStr">
        <is>
          <t>Campaña</t>
        </is>
      </c>
      <c r="H374" t="inlineStr">
        <is>
          <t>Portal internacional</t>
        </is>
      </c>
      <c r="I374" t="n">
        <v>75</v>
      </c>
      <c r="J374" s="5" t="n">
        <v>159.67</v>
      </c>
      <c r="K374" s="5">
        <f>ROUND(I374*J374,2)</f>
        <v/>
      </c>
      <c r="L374" s="3" t="n">
        <v>0.03</v>
      </c>
      <c r="M374" s="5">
        <f>ROUND(K374*(1-L374),2)</f>
        <v/>
      </c>
      <c r="N374" s="5" t="n">
        <v>6912.71</v>
      </c>
      <c r="O374" s="5">
        <f>ROUND(M374-N374,2)</f>
        <v/>
      </c>
      <c r="P374" t="inlineStr">
        <is>
          <t>Pendiente</t>
        </is>
      </c>
    </row>
    <row r="375">
      <c r="A375" t="inlineStr">
        <is>
          <t>ING-0374</t>
        </is>
      </c>
      <c r="B375" s="2" t="n">
        <v>45338</v>
      </c>
      <c r="C375" t="inlineStr">
        <is>
          <t>FinanData</t>
        </is>
      </c>
      <c r="D375" t="inlineStr">
        <is>
          <t>Industria</t>
        </is>
      </c>
      <c r="E375" t="inlineStr">
        <is>
          <t>México</t>
        </is>
      </c>
      <c r="F375" t="inlineStr">
        <is>
          <t>Anuncios RRHH</t>
        </is>
      </c>
      <c r="G375" t="inlineStr">
        <is>
          <t>Campaña</t>
        </is>
      </c>
      <c r="H375" t="inlineStr">
        <is>
          <t>Sección noticias</t>
        </is>
      </c>
      <c r="I375" t="n">
        <v>16</v>
      </c>
      <c r="J375" s="5" t="n">
        <v>1293.65</v>
      </c>
      <c r="K375" s="5">
        <f>ROUND(I375*J375,2)</f>
        <v/>
      </c>
      <c r="L375" s="3" t="n">
        <v>0</v>
      </c>
      <c r="M375" s="5">
        <f>ROUND(K375*(1-L375),2)</f>
        <v/>
      </c>
      <c r="N375" s="5" t="n">
        <v>7762.67</v>
      </c>
      <c r="O375" s="5">
        <f>ROUND(M375-N375,2)</f>
        <v/>
      </c>
      <c r="P375" t="inlineStr">
        <is>
          <t>Emitida</t>
        </is>
      </c>
    </row>
    <row r="376">
      <c r="A376" t="inlineStr">
        <is>
          <t>ING-0375</t>
        </is>
      </c>
      <c r="B376" s="2" t="n">
        <v>45595</v>
      </c>
      <c r="C376" t="inlineStr">
        <is>
          <t>EcoLogística</t>
        </is>
      </c>
      <c r="D376" t="inlineStr">
        <is>
          <t>Retail</t>
        </is>
      </c>
      <c r="E376" t="inlineStr">
        <is>
          <t>Colombia</t>
        </is>
      </c>
      <c r="F376" t="inlineStr">
        <is>
          <t>Anuncios TV</t>
        </is>
      </c>
      <c r="G376" t="inlineStr">
        <is>
          <t>Retainer trimestral</t>
        </is>
      </c>
      <c r="H376" t="inlineStr">
        <is>
          <t>Sección noticias</t>
        </is>
      </c>
      <c r="I376" t="n">
        <v>6</v>
      </c>
      <c r="J376" s="5" t="n">
        <v>808.78</v>
      </c>
      <c r="K376" s="5">
        <f>ROUND(I376*J376,2)</f>
        <v/>
      </c>
      <c r="L376" s="3" t="n">
        <v>0</v>
      </c>
      <c r="M376" s="5">
        <f>ROUND(K376*(1-L376),2)</f>
        <v/>
      </c>
      <c r="N376" s="5" t="n">
        <v>2483</v>
      </c>
      <c r="O376" s="5">
        <f>ROUND(M376-N376,2)</f>
        <v/>
      </c>
      <c r="P376" t="inlineStr">
        <is>
          <t>Emitida</t>
        </is>
      </c>
    </row>
    <row r="377">
      <c r="A377" t="inlineStr">
        <is>
          <t>ING-0376</t>
        </is>
      </c>
      <c r="B377" s="2" t="n">
        <v>45707</v>
      </c>
      <c r="C377" t="inlineStr">
        <is>
          <t>Ayuntamiento Norte</t>
        </is>
      </c>
      <c r="D377" t="inlineStr">
        <is>
          <t>RRHH</t>
        </is>
      </c>
      <c r="E377" t="inlineStr">
        <is>
          <t>México</t>
        </is>
      </c>
      <c r="F377" t="inlineStr">
        <is>
          <t>Anuncios internet</t>
        </is>
      </c>
      <c r="G377" t="inlineStr">
        <is>
          <t>Retainer trimestral</t>
        </is>
      </c>
      <c r="H377" t="inlineStr">
        <is>
          <t>Sección noticias</t>
        </is>
      </c>
      <c r="I377" t="n">
        <v>18</v>
      </c>
      <c r="J377" s="5" t="n">
        <v>1530.94</v>
      </c>
      <c r="K377" s="5">
        <f>ROUND(I377*J377,2)</f>
        <v/>
      </c>
      <c r="L377" s="3" t="n">
        <v>0</v>
      </c>
      <c r="M377" s="5">
        <f>ROUND(K377*(1-L377),2)</f>
        <v/>
      </c>
      <c r="N377" s="5" t="n">
        <v>12212.97</v>
      </c>
      <c r="O377" s="5">
        <f>ROUND(M377-N377,2)</f>
        <v/>
      </c>
      <c r="P377" t="inlineStr">
        <is>
          <t>Pendiente</t>
        </is>
      </c>
    </row>
    <row r="378">
      <c r="A378" t="inlineStr">
        <is>
          <t>ING-0377</t>
        </is>
      </c>
      <c r="B378" s="2" t="n">
        <v>45455</v>
      </c>
      <c r="C378" t="inlineStr">
        <is>
          <t>Legal360</t>
        </is>
      </c>
      <c r="D378" t="inlineStr">
        <is>
          <t>Legal</t>
        </is>
      </c>
      <c r="E378" t="inlineStr">
        <is>
          <t>Portugal</t>
        </is>
      </c>
      <c r="F378" t="inlineStr">
        <is>
          <t>Anuncios RRHH</t>
        </is>
      </c>
      <c r="G378" t="inlineStr">
        <is>
          <t>Suscripción mensual</t>
        </is>
      </c>
      <c r="H378" t="inlineStr">
        <is>
          <t>Sección noticias</t>
        </is>
      </c>
      <c r="I378" t="n">
        <v>13</v>
      </c>
      <c r="J378" s="5" t="n">
        <v>1292.35</v>
      </c>
      <c r="K378" s="5">
        <f>ROUND(I378*J378,2)</f>
        <v/>
      </c>
      <c r="L378" s="3" t="n">
        <v>0</v>
      </c>
      <c r="M378" s="5">
        <f>ROUND(K378*(1-L378),2)</f>
        <v/>
      </c>
      <c r="N378" s="5" t="n">
        <v>10232.44</v>
      </c>
      <c r="O378" s="5">
        <f>ROUND(M378-N378,2)</f>
        <v/>
      </c>
      <c r="P378" t="inlineStr">
        <is>
          <t>Cobrada</t>
        </is>
      </c>
    </row>
    <row r="379">
      <c r="A379" t="inlineStr">
        <is>
          <t>ING-0378</t>
        </is>
      </c>
      <c r="B379" s="2" t="n">
        <v>45317</v>
      </c>
      <c r="C379" t="inlineStr">
        <is>
          <t>EducaPro</t>
        </is>
      </c>
      <c r="D379" t="inlineStr">
        <is>
          <t>Medios</t>
        </is>
      </c>
      <c r="E379" t="inlineStr">
        <is>
          <t>Colombia</t>
        </is>
      </c>
      <c r="F379" t="inlineStr">
        <is>
          <t>Anuncios internet</t>
        </is>
      </c>
      <c r="G379" t="inlineStr">
        <is>
          <t>Proyecto puntual</t>
        </is>
      </c>
      <c r="H379" t="inlineStr">
        <is>
          <t>Portal internacional</t>
        </is>
      </c>
      <c r="I379" t="n">
        <v>24</v>
      </c>
      <c r="J379" s="5" t="n">
        <v>1500.13</v>
      </c>
      <c r="K379" s="5">
        <f>ROUND(I379*J379,2)</f>
        <v/>
      </c>
      <c r="L379" s="3" t="n">
        <v>0.05</v>
      </c>
      <c r="M379" s="5">
        <f>ROUND(K379*(1-L379),2)</f>
        <v/>
      </c>
      <c r="N379" s="5" t="n">
        <v>23523.75</v>
      </c>
      <c r="O379" s="5">
        <f>ROUND(M379-N379,2)</f>
        <v/>
      </c>
      <c r="P379" t="inlineStr">
        <is>
          <t>Cobrada</t>
        </is>
      </c>
    </row>
    <row r="380">
      <c r="A380" t="inlineStr">
        <is>
          <t>ING-0379</t>
        </is>
      </c>
      <c r="B380" s="2" t="n">
        <v>45725</v>
      </c>
      <c r="C380" t="inlineStr">
        <is>
          <t>ClinicPoint</t>
        </is>
      </c>
      <c r="D380" t="inlineStr">
        <is>
          <t>Retail</t>
        </is>
      </c>
      <c r="E380" t="inlineStr">
        <is>
          <t>Chile</t>
        </is>
      </c>
      <c r="F380" t="inlineStr">
        <is>
          <t>Mantenimiento web</t>
        </is>
      </c>
      <c r="G380" t="inlineStr">
        <is>
          <t>Proyecto puntual</t>
        </is>
      </c>
      <c r="H380" t="inlineStr">
        <is>
          <t>Portal internacional</t>
        </is>
      </c>
      <c r="I380" t="n">
        <v>3</v>
      </c>
      <c r="J380" s="5" t="n">
        <v>1660.58</v>
      </c>
      <c r="K380" s="5">
        <f>ROUND(I380*J380,2)</f>
        <v/>
      </c>
      <c r="L380" s="3" t="n">
        <v>0.1</v>
      </c>
      <c r="M380" s="5">
        <f>ROUND(K380*(1-L380),2)</f>
        <v/>
      </c>
      <c r="N380" s="5" t="n">
        <v>1536.79</v>
      </c>
      <c r="O380" s="5">
        <f>ROUND(M380-N380,2)</f>
        <v/>
      </c>
      <c r="P380" t="inlineStr">
        <is>
          <t>Cobrada</t>
        </is>
      </c>
    </row>
    <row r="381">
      <c r="A381" t="inlineStr">
        <is>
          <t>ING-0380</t>
        </is>
      </c>
      <c r="B381" s="2" t="n">
        <v>45710</v>
      </c>
      <c r="C381" t="inlineStr">
        <is>
          <t>TalentHub</t>
        </is>
      </c>
      <c r="D381" t="inlineStr">
        <is>
          <t>Retail</t>
        </is>
      </c>
      <c r="E381" t="inlineStr">
        <is>
          <t>Portugal</t>
        </is>
      </c>
      <c r="F381" t="inlineStr">
        <is>
          <t>Mantenimiento web</t>
        </is>
      </c>
      <c r="G381" t="inlineStr">
        <is>
          <t>Retainer trimestral</t>
        </is>
      </c>
      <c r="H381" t="inlineStr">
        <is>
          <t>Intranet operaciones</t>
        </is>
      </c>
      <c r="I381" t="n">
        <v>2</v>
      </c>
      <c r="J381" s="5" t="n">
        <v>2647.71</v>
      </c>
      <c r="K381" s="5">
        <f>ROUND(I381*J381,2)</f>
        <v/>
      </c>
      <c r="L381" s="3" t="n">
        <v>0</v>
      </c>
      <c r="M381" s="5">
        <f>ROUND(K381*(1-L381),2)</f>
        <v/>
      </c>
      <c r="N381" s="5" t="n">
        <v>2808.36</v>
      </c>
      <c r="O381" s="5">
        <f>ROUND(M381-N381,2)</f>
        <v/>
      </c>
      <c r="P381" t="inlineStr">
        <is>
          <t>Emitida</t>
        </is>
      </c>
    </row>
    <row r="382">
      <c r="A382" t="inlineStr">
        <is>
          <t>ING-0381</t>
        </is>
      </c>
      <c r="B382" s="2" t="n">
        <v>45698</v>
      </c>
      <c r="C382" t="inlineStr">
        <is>
          <t>Industrias Vega</t>
        </is>
      </c>
      <c r="D382" t="inlineStr">
        <is>
          <t>Salud</t>
        </is>
      </c>
      <c r="E382" t="inlineStr">
        <is>
          <t>Colombia</t>
        </is>
      </c>
      <c r="F382" t="inlineStr">
        <is>
          <t>Publicación de noticias</t>
        </is>
      </c>
      <c r="G382" t="inlineStr">
        <is>
          <t>Suscripción mensual</t>
        </is>
      </c>
      <c r="H382" t="inlineStr">
        <is>
          <t>Portal corporativo</t>
        </is>
      </c>
      <c r="I382" t="n">
        <v>14</v>
      </c>
      <c r="J382" s="5" t="n">
        <v>94.53</v>
      </c>
      <c r="K382" s="5">
        <f>ROUND(I382*J382,2)</f>
        <v/>
      </c>
      <c r="L382" s="3" t="n">
        <v>0.03</v>
      </c>
      <c r="M382" s="5">
        <f>ROUND(K382*(1-L382),2)</f>
        <v/>
      </c>
      <c r="N382" s="5" t="n">
        <v>862.33</v>
      </c>
      <c r="O382" s="5">
        <f>ROUND(M382-N382,2)</f>
        <v/>
      </c>
      <c r="P382" t="inlineStr">
        <is>
          <t>Pendiente</t>
        </is>
      </c>
    </row>
    <row r="383">
      <c r="A383" t="inlineStr">
        <is>
          <t>ING-0382</t>
        </is>
      </c>
      <c r="B383" s="2" t="n">
        <v>45604</v>
      </c>
      <c r="C383" t="inlineStr">
        <is>
          <t>TurisWorld</t>
        </is>
      </c>
      <c r="D383" t="inlineStr">
        <is>
          <t>Industria</t>
        </is>
      </c>
      <c r="E383" t="inlineStr">
        <is>
          <t>España</t>
        </is>
      </c>
      <c r="F383" t="inlineStr">
        <is>
          <t>Mantenimiento web</t>
        </is>
      </c>
      <c r="G383" t="inlineStr">
        <is>
          <t>Suscripción mensual</t>
        </is>
      </c>
      <c r="H383" t="inlineStr">
        <is>
          <t>Portal internacional</t>
        </is>
      </c>
      <c r="I383" t="n">
        <v>2</v>
      </c>
      <c r="J383" s="5" t="n">
        <v>2967.7</v>
      </c>
      <c r="K383" s="5">
        <f>ROUND(I383*J383,2)</f>
        <v/>
      </c>
      <c r="L383" s="3" t="n">
        <v>0</v>
      </c>
      <c r="M383" s="5">
        <f>ROUND(K383*(1-L383),2)</f>
        <v/>
      </c>
      <c r="N383" s="5" t="n">
        <v>3971.56</v>
      </c>
      <c r="O383" s="5">
        <f>ROUND(M383-N383,2)</f>
        <v/>
      </c>
      <c r="P383" t="inlineStr">
        <is>
          <t>Cobrada</t>
        </is>
      </c>
    </row>
    <row r="384">
      <c r="A384" t="inlineStr">
        <is>
          <t>ING-0383</t>
        </is>
      </c>
      <c r="B384" s="2" t="n">
        <v>45733</v>
      </c>
      <c r="C384" t="inlineStr">
        <is>
          <t>Campus One</t>
        </is>
      </c>
      <c r="D384" t="inlineStr">
        <is>
          <t>Salud</t>
        </is>
      </c>
      <c r="E384" t="inlineStr">
        <is>
          <t>Chile</t>
        </is>
      </c>
      <c r="F384" t="inlineStr">
        <is>
          <t>Traducciones</t>
        </is>
      </c>
      <c r="G384" t="inlineStr">
        <is>
          <t>Proyecto puntual</t>
        </is>
      </c>
      <c r="H384" t="inlineStr">
        <is>
          <t>Campaña empleo</t>
        </is>
      </c>
      <c r="I384" t="n">
        <v>100</v>
      </c>
      <c r="J384" s="5" t="n">
        <v>90.78</v>
      </c>
      <c r="K384" s="5">
        <f>ROUND(I384*J384,2)</f>
        <v/>
      </c>
      <c r="L384" s="3" t="n">
        <v>0</v>
      </c>
      <c r="M384" s="5">
        <f>ROUND(K384*(1-L384),2)</f>
        <v/>
      </c>
      <c r="N384" s="5" t="n">
        <v>5966.29</v>
      </c>
      <c r="O384" s="5">
        <f>ROUND(M384-N384,2)</f>
        <v/>
      </c>
      <c r="P384" t="inlineStr">
        <is>
          <t>Emitida</t>
        </is>
      </c>
    </row>
    <row r="385">
      <c r="A385" t="inlineStr">
        <is>
          <t>ING-0384</t>
        </is>
      </c>
      <c r="B385" s="2" t="n">
        <v>45299</v>
      </c>
      <c r="C385" t="inlineStr">
        <is>
          <t>Grupo Atlas</t>
        </is>
      </c>
      <c r="D385" t="inlineStr">
        <is>
          <t>Industria</t>
        </is>
      </c>
      <c r="E385" t="inlineStr">
        <is>
          <t>México</t>
        </is>
      </c>
      <c r="F385" t="inlineStr">
        <is>
          <t>Anuncios internet</t>
        </is>
      </c>
      <c r="G385" t="inlineStr">
        <is>
          <t>Suscripción mensual</t>
        </is>
      </c>
      <c r="H385" t="inlineStr">
        <is>
          <t>Centro de prensa</t>
        </is>
      </c>
      <c r="I385" t="n">
        <v>27</v>
      </c>
      <c r="J385" s="5" t="n">
        <v>1160.94</v>
      </c>
      <c r="K385" s="5">
        <f>ROUND(I385*J385,2)</f>
        <v/>
      </c>
      <c r="L385" s="3" t="n">
        <v>0.08</v>
      </c>
      <c r="M385" s="5">
        <f>ROUND(K385*(1-L385),2)</f>
        <v/>
      </c>
      <c r="N385" s="5" t="n">
        <v>12067.4</v>
      </c>
      <c r="O385" s="5">
        <f>ROUND(M385-N385,2)</f>
        <v/>
      </c>
      <c r="P385" t="inlineStr">
        <is>
          <t>Pendiente</t>
        </is>
      </c>
    </row>
    <row r="386">
      <c r="A386" t="inlineStr">
        <is>
          <t>ING-0385</t>
        </is>
      </c>
      <c r="B386" s="2" t="n">
        <v>45582</v>
      </c>
      <c r="C386" t="inlineStr">
        <is>
          <t>TalentHub</t>
        </is>
      </c>
      <c r="D386" t="inlineStr">
        <is>
          <t>Industria</t>
        </is>
      </c>
      <c r="E386" t="inlineStr">
        <is>
          <t>Colombia</t>
        </is>
      </c>
      <c r="F386" t="inlineStr">
        <is>
          <t>Anuncios RRHH</t>
        </is>
      </c>
      <c r="G386" t="inlineStr">
        <is>
          <t>Soporte anual</t>
        </is>
      </c>
      <c r="H386" t="inlineStr">
        <is>
          <t>Campaña empleo</t>
        </is>
      </c>
      <c r="I386" t="n">
        <v>9</v>
      </c>
      <c r="J386" s="5" t="n">
        <v>2055.21</v>
      </c>
      <c r="K386" s="5">
        <f>ROUND(I386*J386,2)</f>
        <v/>
      </c>
      <c r="L386" s="3" t="n">
        <v>0.05</v>
      </c>
      <c r="M386" s="5">
        <f>ROUND(K386*(1-L386),2)</f>
        <v/>
      </c>
      <c r="N386" s="5" t="n">
        <v>5744.49</v>
      </c>
      <c r="O386" s="5">
        <f>ROUND(M386-N386,2)</f>
        <v/>
      </c>
      <c r="P386" t="inlineStr">
        <is>
          <t>Cobrada</t>
        </is>
      </c>
    </row>
    <row r="387">
      <c r="A387" t="inlineStr">
        <is>
          <t>ING-0386</t>
        </is>
      </c>
      <c r="B387" s="2" t="n">
        <v>45351</v>
      </c>
      <c r="C387" t="inlineStr">
        <is>
          <t>Legal360</t>
        </is>
      </c>
      <c r="D387" t="inlineStr">
        <is>
          <t>RRHH</t>
        </is>
      </c>
      <c r="E387" t="inlineStr">
        <is>
          <t>España</t>
        </is>
      </c>
      <c r="F387" t="inlineStr">
        <is>
          <t>Publicación de noticias</t>
        </is>
      </c>
      <c r="G387" t="inlineStr">
        <is>
          <t>Soporte anual</t>
        </is>
      </c>
      <c r="H387" t="inlineStr">
        <is>
          <t>Sección noticias</t>
        </is>
      </c>
      <c r="I387" t="n">
        <v>37</v>
      </c>
      <c r="J387" s="5" t="n">
        <v>79.06</v>
      </c>
      <c r="K387" s="5">
        <f>ROUND(I387*J387,2)</f>
        <v/>
      </c>
      <c r="L387" s="3" t="n">
        <v>0.05</v>
      </c>
      <c r="M387" s="5">
        <f>ROUND(K387*(1-L387),2)</f>
        <v/>
      </c>
      <c r="N387" s="5" t="n">
        <v>1325.35</v>
      </c>
      <c r="O387" s="5">
        <f>ROUND(M387-N387,2)</f>
        <v/>
      </c>
      <c r="P387" t="inlineStr">
        <is>
          <t>Emitida</t>
        </is>
      </c>
    </row>
    <row r="388">
      <c r="A388" t="inlineStr">
        <is>
          <t>ING-0387</t>
        </is>
      </c>
      <c r="B388" s="2" t="n">
        <v>45688</v>
      </c>
      <c r="C388" t="inlineStr">
        <is>
          <t>EducaPro</t>
        </is>
      </c>
      <c r="D388" t="inlineStr">
        <is>
          <t>Salud</t>
        </is>
      </c>
      <c r="E388" t="inlineStr">
        <is>
          <t>México</t>
        </is>
      </c>
      <c r="F388" t="inlineStr">
        <is>
          <t>Generación de noticias</t>
        </is>
      </c>
      <c r="G388" t="inlineStr">
        <is>
          <t>Retainer trimestral</t>
        </is>
      </c>
      <c r="H388" t="inlineStr">
        <is>
          <t>Portal corporativo</t>
        </is>
      </c>
      <c r="I388" t="n">
        <v>15</v>
      </c>
      <c r="J388" s="5" t="n">
        <v>69.84999999999999</v>
      </c>
      <c r="K388" s="5">
        <f>ROUND(I388*J388,2)</f>
        <v/>
      </c>
      <c r="L388" s="3" t="n">
        <v>0</v>
      </c>
      <c r="M388" s="5">
        <f>ROUND(K388*(1-L388),2)</f>
        <v/>
      </c>
      <c r="N388" s="5" t="n">
        <v>609.08</v>
      </c>
      <c r="O388" s="5">
        <f>ROUND(M388-N388,2)</f>
        <v/>
      </c>
      <c r="P388" t="inlineStr">
        <is>
          <t>Cobrada</t>
        </is>
      </c>
    </row>
    <row r="389">
      <c r="A389" t="inlineStr">
        <is>
          <t>ING-0388</t>
        </is>
      </c>
      <c r="B389" s="2" t="n">
        <v>45531</v>
      </c>
      <c r="C389" t="inlineStr">
        <is>
          <t>Fundación Horizonte</t>
        </is>
      </c>
      <c r="D389" t="inlineStr">
        <is>
          <t>Finanzas</t>
        </is>
      </c>
      <c r="E389" t="inlineStr">
        <is>
          <t>México</t>
        </is>
      </c>
      <c r="F389" t="inlineStr">
        <is>
          <t>Anuncios TV</t>
        </is>
      </c>
      <c r="G389" t="inlineStr">
        <is>
          <t>Campaña</t>
        </is>
      </c>
      <c r="H389" t="inlineStr">
        <is>
          <t>Centro de prensa</t>
        </is>
      </c>
      <c r="I389" t="n">
        <v>14</v>
      </c>
      <c r="J389" s="5" t="n">
        <v>671.1799999999999</v>
      </c>
      <c r="K389" s="5">
        <f>ROUND(I389*J389,2)</f>
        <v/>
      </c>
      <c r="L389" s="3" t="n">
        <v>0.08</v>
      </c>
      <c r="M389" s="5">
        <f>ROUND(K389*(1-L389),2)</f>
        <v/>
      </c>
      <c r="N389" s="5" t="n">
        <v>3089.26</v>
      </c>
      <c r="O389" s="5">
        <f>ROUND(M389-N389,2)</f>
        <v/>
      </c>
      <c r="P389" t="inlineStr">
        <is>
          <t>Emitida</t>
        </is>
      </c>
    </row>
    <row r="390">
      <c r="A390" t="inlineStr">
        <is>
          <t>ING-0389</t>
        </is>
      </c>
      <c r="B390" s="2" t="n">
        <v>45431</v>
      </c>
      <c r="C390" t="inlineStr">
        <is>
          <t>Prensa Local 24</t>
        </is>
      </c>
      <c r="D390" t="inlineStr">
        <is>
          <t>Administración pública</t>
        </is>
      </c>
      <c r="E390" t="inlineStr">
        <is>
          <t>España</t>
        </is>
      </c>
      <c r="F390" t="inlineStr">
        <is>
          <t>Anuncios RRHH</t>
        </is>
      </c>
      <c r="G390" t="inlineStr">
        <is>
          <t>Campaña</t>
        </is>
      </c>
      <c r="H390" t="inlineStr">
        <is>
          <t>Intranet operaciones</t>
        </is>
      </c>
      <c r="I390" t="n">
        <v>15</v>
      </c>
      <c r="J390" s="5" t="n">
        <v>1395.36</v>
      </c>
      <c r="K390" s="5">
        <f>ROUND(I390*J390,2)</f>
        <v/>
      </c>
      <c r="L390" s="3" t="n">
        <v>0</v>
      </c>
      <c r="M390" s="5">
        <f>ROUND(K390*(1-L390),2)</f>
        <v/>
      </c>
      <c r="N390" s="5" t="n">
        <v>8883.299999999999</v>
      </c>
      <c r="O390" s="5">
        <f>ROUND(M390-N390,2)</f>
        <v/>
      </c>
      <c r="P390" t="inlineStr">
        <is>
          <t>Pendiente</t>
        </is>
      </c>
    </row>
    <row r="391">
      <c r="A391" t="inlineStr">
        <is>
          <t>ING-0390</t>
        </is>
      </c>
      <c r="B391" s="2" t="n">
        <v>45569</v>
      </c>
      <c r="C391" t="inlineStr">
        <is>
          <t>TalentHub</t>
        </is>
      </c>
      <c r="D391" t="inlineStr">
        <is>
          <t>Finanzas</t>
        </is>
      </c>
      <c r="E391" t="inlineStr">
        <is>
          <t>Chile</t>
        </is>
      </c>
      <c r="F391" t="inlineStr">
        <is>
          <t>Anuncios TV</t>
        </is>
      </c>
      <c r="G391" t="inlineStr">
        <is>
          <t>Retainer trimestral</t>
        </is>
      </c>
      <c r="H391" t="inlineStr">
        <is>
          <t>Sección noticias</t>
        </is>
      </c>
      <c r="I391" t="n">
        <v>24</v>
      </c>
      <c r="J391" s="5" t="n">
        <v>2491.67</v>
      </c>
      <c r="K391" s="5">
        <f>ROUND(I391*J391,2)</f>
        <v/>
      </c>
      <c r="L391" s="3" t="n">
        <v>0.03</v>
      </c>
      <c r="M391" s="5">
        <f>ROUND(K391*(1-L391),2)</f>
        <v/>
      </c>
      <c r="N391" s="5" t="n">
        <v>37861.14</v>
      </c>
      <c r="O391" s="5">
        <f>ROUND(M391-N391,2)</f>
        <v/>
      </c>
      <c r="P391" t="inlineStr">
        <is>
          <t>Emitida</t>
        </is>
      </c>
    </row>
    <row r="392">
      <c r="A392" t="inlineStr">
        <is>
          <t>ING-0391</t>
        </is>
      </c>
      <c r="B392" s="2" t="n">
        <v>45461</v>
      </c>
      <c r="C392" t="inlineStr">
        <is>
          <t>SegurPlus</t>
        </is>
      </c>
      <c r="D392" t="inlineStr">
        <is>
          <t>Salud</t>
        </is>
      </c>
      <c r="E392" t="inlineStr">
        <is>
          <t>Colombia</t>
        </is>
      </c>
      <c r="F392" t="inlineStr">
        <is>
          <t>Anuncios prensa</t>
        </is>
      </c>
      <c r="G392" t="inlineStr">
        <is>
          <t>Campaña</t>
        </is>
      </c>
      <c r="H392" t="inlineStr">
        <is>
          <t>Centro de prensa</t>
        </is>
      </c>
      <c r="I392" t="n">
        <v>14</v>
      </c>
      <c r="J392" s="5" t="n">
        <v>2300.26</v>
      </c>
      <c r="K392" s="5">
        <f>ROUND(I392*J392,2)</f>
        <v/>
      </c>
      <c r="L392" s="3" t="n">
        <v>0.1</v>
      </c>
      <c r="M392" s="5">
        <f>ROUND(K392*(1-L392),2)</f>
        <v/>
      </c>
      <c r="N392" s="5" t="n">
        <v>15531.26</v>
      </c>
      <c r="O392" s="5">
        <f>ROUND(M392-N392,2)</f>
        <v/>
      </c>
      <c r="P392" t="inlineStr">
        <is>
          <t>Emitida</t>
        </is>
      </c>
    </row>
    <row r="393">
      <c r="A393" t="inlineStr">
        <is>
          <t>ING-0392</t>
        </is>
      </c>
      <c r="B393" s="2" t="n">
        <v>45478</v>
      </c>
      <c r="C393" t="inlineStr">
        <is>
          <t>EcoLogística</t>
        </is>
      </c>
      <c r="D393" t="inlineStr">
        <is>
          <t>Retail</t>
        </is>
      </c>
      <c r="E393" t="inlineStr">
        <is>
          <t>Portugal</t>
        </is>
      </c>
      <c r="F393" t="inlineStr">
        <is>
          <t>Anuncios prensa</t>
        </is>
      </c>
      <c r="G393" t="inlineStr">
        <is>
          <t>Soporte anual</t>
        </is>
      </c>
      <c r="H393" t="inlineStr">
        <is>
          <t>Sección noticias</t>
        </is>
      </c>
      <c r="I393" t="n">
        <v>16</v>
      </c>
      <c r="J393" s="5" t="n">
        <v>1606.71</v>
      </c>
      <c r="K393" s="5">
        <f>ROUND(I393*J393,2)</f>
        <v/>
      </c>
      <c r="L393" s="3" t="n">
        <v>0.1</v>
      </c>
      <c r="M393" s="5">
        <f>ROUND(K393*(1-L393),2)</f>
        <v/>
      </c>
      <c r="N393" s="5" t="n">
        <v>10322.73</v>
      </c>
      <c r="O393" s="5">
        <f>ROUND(M393-N393,2)</f>
        <v/>
      </c>
      <c r="P393" t="inlineStr">
        <is>
          <t>Emitida</t>
        </is>
      </c>
    </row>
    <row r="394">
      <c r="A394" t="inlineStr">
        <is>
          <t>ING-0393</t>
        </is>
      </c>
      <c r="B394" s="2" t="n">
        <v>45313</v>
      </c>
      <c r="C394" t="inlineStr">
        <is>
          <t>ClinicPoint</t>
        </is>
      </c>
      <c r="D394" t="inlineStr">
        <is>
          <t>Medios</t>
        </is>
      </c>
      <c r="E394" t="inlineStr">
        <is>
          <t>México</t>
        </is>
      </c>
      <c r="F394" t="inlineStr">
        <is>
          <t>Mantenimiento web</t>
        </is>
      </c>
      <c r="G394" t="inlineStr">
        <is>
          <t>Suscripción mensual</t>
        </is>
      </c>
      <c r="H394" t="inlineStr">
        <is>
          <t>Intranet comercial</t>
        </is>
      </c>
      <c r="I394" t="n">
        <v>6</v>
      </c>
      <c r="J394" s="5" t="n">
        <v>4148.33</v>
      </c>
      <c r="K394" s="5">
        <f>ROUND(I394*J394,2)</f>
        <v/>
      </c>
      <c r="L394" s="3" t="n">
        <v>0</v>
      </c>
      <c r="M394" s="5">
        <f>ROUND(K394*(1-L394),2)</f>
        <v/>
      </c>
      <c r="N394" s="5" t="n">
        <v>9696.08</v>
      </c>
      <c r="O394" s="5">
        <f>ROUND(M394-N394,2)</f>
        <v/>
      </c>
      <c r="P394" t="inlineStr">
        <is>
          <t>Emitida</t>
        </is>
      </c>
    </row>
    <row r="395">
      <c r="A395" t="inlineStr">
        <is>
          <t>ING-0394</t>
        </is>
      </c>
      <c r="B395" s="2" t="n">
        <v>45340</v>
      </c>
      <c r="C395" t="inlineStr">
        <is>
          <t>Smart Factory</t>
        </is>
      </c>
      <c r="D395" t="inlineStr">
        <is>
          <t>Medios</t>
        </is>
      </c>
      <c r="E395" t="inlineStr">
        <is>
          <t>España</t>
        </is>
      </c>
      <c r="F395" t="inlineStr">
        <is>
          <t>Traducciones</t>
        </is>
      </c>
      <c r="G395" t="inlineStr">
        <is>
          <t>Proyecto puntual</t>
        </is>
      </c>
      <c r="H395" t="inlineStr">
        <is>
          <t>Portal internacional</t>
        </is>
      </c>
      <c r="I395" t="n">
        <v>64</v>
      </c>
      <c r="J395" s="5" t="n">
        <v>149.05</v>
      </c>
      <c r="K395" s="5">
        <f>ROUND(I395*J395,2)</f>
        <v/>
      </c>
      <c r="L395" s="3" t="n">
        <v>0.03</v>
      </c>
      <c r="M395" s="5">
        <f>ROUND(K395*(1-L395),2)</f>
        <v/>
      </c>
      <c r="N395" s="5" t="n">
        <v>6246.19</v>
      </c>
      <c r="O395" s="5">
        <f>ROUND(M395-N395,2)</f>
        <v/>
      </c>
      <c r="P395" t="inlineStr">
        <is>
          <t>Pendiente</t>
        </is>
      </c>
    </row>
    <row r="396">
      <c r="A396" t="inlineStr">
        <is>
          <t>ING-0395</t>
        </is>
      </c>
      <c r="B396" s="2" t="n">
        <v>45616</v>
      </c>
      <c r="C396" t="inlineStr">
        <is>
          <t>Grupo Atlas</t>
        </is>
      </c>
      <c r="D396" t="inlineStr">
        <is>
          <t>Administración pública</t>
        </is>
      </c>
      <c r="E396" t="inlineStr">
        <is>
          <t>Chile</t>
        </is>
      </c>
      <c r="F396" t="inlineStr">
        <is>
          <t>Anuncios internet</t>
        </is>
      </c>
      <c r="G396" t="inlineStr">
        <is>
          <t>Retainer trimestral</t>
        </is>
      </c>
      <c r="H396" t="inlineStr">
        <is>
          <t>Campaña empleo</t>
        </is>
      </c>
      <c r="I396" t="n">
        <v>3</v>
      </c>
      <c r="J396" s="5" t="n">
        <v>1763.83</v>
      </c>
      <c r="K396" s="5">
        <f>ROUND(I396*J396,2)</f>
        <v/>
      </c>
      <c r="L396" s="3" t="n">
        <v>0.03</v>
      </c>
      <c r="M396" s="5">
        <f>ROUND(K396*(1-L396),2)</f>
        <v/>
      </c>
      <c r="N396" s="5" t="n">
        <v>1725.95</v>
      </c>
      <c r="O396" s="5">
        <f>ROUND(M396-N396,2)</f>
        <v/>
      </c>
      <c r="P396" t="inlineStr">
        <is>
          <t>Cobrada</t>
        </is>
      </c>
    </row>
    <row r="397">
      <c r="A397" t="inlineStr">
        <is>
          <t>ING-0396</t>
        </is>
      </c>
      <c r="B397" s="2" t="n">
        <v>45385</v>
      </c>
      <c r="C397" t="inlineStr">
        <is>
          <t>Campus One</t>
        </is>
      </c>
      <c r="D397" t="inlineStr">
        <is>
          <t>Tecnología</t>
        </is>
      </c>
      <c r="E397" t="inlineStr">
        <is>
          <t>Chile</t>
        </is>
      </c>
      <c r="F397" t="inlineStr">
        <is>
          <t>Traducciones</t>
        </is>
      </c>
      <c r="G397" t="inlineStr">
        <is>
          <t>Retainer trimestral</t>
        </is>
      </c>
      <c r="H397" t="inlineStr">
        <is>
          <t>Portal corporativo</t>
        </is>
      </c>
      <c r="I397" t="n">
        <v>5</v>
      </c>
      <c r="J397" s="5" t="n">
        <v>165.02</v>
      </c>
      <c r="K397" s="5">
        <f>ROUND(I397*J397,2)</f>
        <v/>
      </c>
      <c r="L397" s="3" t="n">
        <v>0</v>
      </c>
      <c r="M397" s="5">
        <f>ROUND(K397*(1-L397),2)</f>
        <v/>
      </c>
      <c r="N397" s="5" t="n">
        <v>442.86</v>
      </c>
      <c r="O397" s="5">
        <f>ROUND(M397-N397,2)</f>
        <v/>
      </c>
      <c r="P397" t="inlineStr">
        <is>
          <t>Emitida</t>
        </is>
      </c>
    </row>
    <row r="398">
      <c r="A398" t="inlineStr">
        <is>
          <t>ING-0397</t>
        </is>
      </c>
      <c r="B398" s="2" t="n">
        <v>45733</v>
      </c>
      <c r="C398" t="inlineStr">
        <is>
          <t>TurisWorld</t>
        </is>
      </c>
      <c r="D398" t="inlineStr">
        <is>
          <t>Tecnología</t>
        </is>
      </c>
      <c r="E398" t="inlineStr">
        <is>
          <t>Chile</t>
        </is>
      </c>
      <c r="F398" t="inlineStr">
        <is>
          <t>Anuncios prensa</t>
        </is>
      </c>
      <c r="G398" t="inlineStr">
        <is>
          <t>Retainer trimestral</t>
        </is>
      </c>
      <c r="H398" t="inlineStr">
        <is>
          <t>Intranet operaciones</t>
        </is>
      </c>
      <c r="I398" t="n">
        <v>4</v>
      </c>
      <c r="J398" s="5" t="n">
        <v>900.84</v>
      </c>
      <c r="K398" s="5">
        <f>ROUND(I398*J398,2)</f>
        <v/>
      </c>
      <c r="L398" s="3" t="n">
        <v>0.1</v>
      </c>
      <c r="M398" s="5">
        <f>ROUND(K398*(1-L398),2)</f>
        <v/>
      </c>
      <c r="N398" s="5" t="n">
        <v>1423.41</v>
      </c>
      <c r="O398" s="5">
        <f>ROUND(M398-N398,2)</f>
        <v/>
      </c>
      <c r="P398" t="inlineStr">
        <is>
          <t>Pendiente</t>
        </is>
      </c>
    </row>
    <row r="399">
      <c r="A399" t="inlineStr">
        <is>
          <t>ING-0398</t>
        </is>
      </c>
      <c r="B399" s="2" t="n">
        <v>45544</v>
      </c>
      <c r="C399" t="inlineStr">
        <is>
          <t>Innova Retail</t>
        </is>
      </c>
      <c r="D399" t="inlineStr">
        <is>
          <t>Industria</t>
        </is>
      </c>
      <c r="E399" t="inlineStr">
        <is>
          <t>Portugal</t>
        </is>
      </c>
      <c r="F399" t="inlineStr">
        <is>
          <t>Anuncios RRHH</t>
        </is>
      </c>
      <c r="G399" t="inlineStr">
        <is>
          <t>Proyecto puntual</t>
        </is>
      </c>
      <c r="H399" t="inlineStr">
        <is>
          <t>Intranet operaciones</t>
        </is>
      </c>
      <c r="I399" t="n">
        <v>16</v>
      </c>
      <c r="J399" s="5" t="n">
        <v>813.92</v>
      </c>
      <c r="K399" s="5">
        <f>ROUND(I399*J399,2)</f>
        <v/>
      </c>
      <c r="L399" s="3" t="n">
        <v>0.08</v>
      </c>
      <c r="M399" s="5">
        <f>ROUND(K399*(1-L399),2)</f>
        <v/>
      </c>
      <c r="N399" s="5" t="n">
        <v>8608.290000000001</v>
      </c>
      <c r="O399" s="5">
        <f>ROUND(M399-N399,2)</f>
        <v/>
      </c>
      <c r="P399" t="inlineStr">
        <is>
          <t>Pendiente</t>
        </is>
      </c>
    </row>
    <row r="400">
      <c r="A400" t="inlineStr">
        <is>
          <t>ING-0399</t>
        </is>
      </c>
      <c r="B400" s="2" t="n">
        <v>45633</v>
      </c>
      <c r="C400" t="inlineStr">
        <is>
          <t>EducaPro</t>
        </is>
      </c>
      <c r="D400" t="inlineStr">
        <is>
          <t>Salud</t>
        </is>
      </c>
      <c r="E400" t="inlineStr">
        <is>
          <t>España</t>
        </is>
      </c>
      <c r="F400" t="inlineStr">
        <is>
          <t>Mantenimiento web</t>
        </is>
      </c>
      <c r="G400" t="inlineStr">
        <is>
          <t>Campaña</t>
        </is>
      </c>
      <c r="H400" t="inlineStr">
        <is>
          <t>Centro de prensa</t>
        </is>
      </c>
      <c r="I400" t="n">
        <v>6</v>
      </c>
      <c r="J400" s="5" t="n">
        <v>3218.09</v>
      </c>
      <c r="K400" s="5">
        <f>ROUND(I400*J400,2)</f>
        <v/>
      </c>
      <c r="L400" s="3" t="n">
        <v>0.1</v>
      </c>
      <c r="M400" s="5">
        <f>ROUND(K400*(1-L400),2)</f>
        <v/>
      </c>
      <c r="N400" s="5" t="n">
        <v>12411.25</v>
      </c>
      <c r="O400" s="5">
        <f>ROUND(M400-N400,2)</f>
        <v/>
      </c>
      <c r="P400" t="inlineStr">
        <is>
          <t>Pendiente</t>
        </is>
      </c>
    </row>
    <row r="401">
      <c r="A401" t="inlineStr">
        <is>
          <t>ING-0400</t>
        </is>
      </c>
      <c r="B401" s="2" t="n">
        <v>45352</v>
      </c>
      <c r="C401" t="inlineStr">
        <is>
          <t>Grupo Atlas</t>
        </is>
      </c>
      <c r="D401" t="inlineStr">
        <is>
          <t>Turismo</t>
        </is>
      </c>
      <c r="E401" t="inlineStr">
        <is>
          <t>México</t>
        </is>
      </c>
      <c r="F401" t="inlineStr">
        <is>
          <t>Mantenimiento intranets</t>
        </is>
      </c>
      <c r="G401" t="inlineStr">
        <is>
          <t>Proyecto puntual</t>
        </is>
      </c>
      <c r="H401" t="inlineStr">
        <is>
          <t>Portal corporativo</t>
        </is>
      </c>
      <c r="I401" t="n">
        <v>1</v>
      </c>
      <c r="J401" s="5" t="n">
        <v>1631.75</v>
      </c>
      <c r="K401" s="5">
        <f>ROUND(I401*J401,2)</f>
        <v/>
      </c>
      <c r="L401" s="3" t="n">
        <v>0</v>
      </c>
      <c r="M401" s="5">
        <f>ROUND(K401*(1-L401),2)</f>
        <v/>
      </c>
      <c r="N401" s="5" t="n">
        <v>1037.5</v>
      </c>
      <c r="O401" s="5">
        <f>ROUND(M401-N401,2)</f>
        <v/>
      </c>
      <c r="P401" t="inlineStr">
        <is>
          <t>Cobrada</t>
        </is>
      </c>
    </row>
    <row r="402">
      <c r="A402" t="inlineStr">
        <is>
          <t>ING-0401</t>
        </is>
      </c>
      <c r="B402" s="2" t="n">
        <v>45612</v>
      </c>
      <c r="C402" t="inlineStr">
        <is>
          <t>Smart Factory</t>
        </is>
      </c>
      <c r="D402" t="inlineStr">
        <is>
          <t>Educación</t>
        </is>
      </c>
      <c r="E402" t="inlineStr">
        <is>
          <t>Portugal</t>
        </is>
      </c>
      <c r="F402" t="inlineStr">
        <is>
          <t>Mantenimiento web</t>
        </is>
      </c>
      <c r="G402" t="inlineStr">
        <is>
          <t>Retainer trimestral</t>
        </is>
      </c>
      <c r="H402" t="inlineStr">
        <is>
          <t>Sección noticias</t>
        </is>
      </c>
      <c r="I402" t="n">
        <v>5</v>
      </c>
      <c r="J402" s="5" t="n">
        <v>1131.87</v>
      </c>
      <c r="K402" s="5">
        <f>ROUND(I402*J402,2)</f>
        <v/>
      </c>
      <c r="L402" s="3" t="n">
        <v>0.08</v>
      </c>
      <c r="M402" s="5">
        <f>ROUND(K402*(1-L402),2)</f>
        <v/>
      </c>
      <c r="N402" s="5" t="n">
        <v>2735.67</v>
      </c>
      <c r="O402" s="5">
        <f>ROUND(M402-N402,2)</f>
        <v/>
      </c>
      <c r="P402" t="inlineStr">
        <is>
          <t>Cobrada</t>
        </is>
      </c>
    </row>
    <row r="403">
      <c r="A403" t="inlineStr">
        <is>
          <t>ING-0402</t>
        </is>
      </c>
      <c r="B403" s="2" t="n">
        <v>45315</v>
      </c>
      <c r="C403" t="inlineStr">
        <is>
          <t>Industrias Vega</t>
        </is>
      </c>
      <c r="D403" t="inlineStr">
        <is>
          <t>Administración pública</t>
        </is>
      </c>
      <c r="E403" t="inlineStr">
        <is>
          <t>España</t>
        </is>
      </c>
      <c r="F403" t="inlineStr">
        <is>
          <t>Anuncios RRHH</t>
        </is>
      </c>
      <c r="G403" t="inlineStr">
        <is>
          <t>Suscripción mensual</t>
        </is>
      </c>
      <c r="H403" t="inlineStr">
        <is>
          <t>Portal corporativo</t>
        </is>
      </c>
      <c r="I403" t="n">
        <v>13</v>
      </c>
      <c r="J403" s="5" t="n">
        <v>1762.16</v>
      </c>
      <c r="K403" s="5">
        <f>ROUND(I403*J403,2)</f>
        <v/>
      </c>
      <c r="L403" s="3" t="n">
        <v>0.05</v>
      </c>
      <c r="M403" s="5">
        <f>ROUND(K403*(1-L403),2)</f>
        <v/>
      </c>
      <c r="N403" s="5" t="n">
        <v>9080.780000000001</v>
      </c>
      <c r="O403" s="5">
        <f>ROUND(M403-N403,2)</f>
        <v/>
      </c>
      <c r="P403" t="inlineStr">
        <is>
          <t>Cobrada</t>
        </is>
      </c>
    </row>
    <row r="404">
      <c r="A404" t="inlineStr">
        <is>
          <t>ING-0403</t>
        </is>
      </c>
      <c r="B404" s="2" t="n">
        <v>45714</v>
      </c>
      <c r="C404" t="inlineStr">
        <is>
          <t>Prensa Local 24</t>
        </is>
      </c>
      <c r="D404" t="inlineStr">
        <is>
          <t>Salud</t>
        </is>
      </c>
      <c r="E404" t="inlineStr">
        <is>
          <t>España</t>
        </is>
      </c>
      <c r="F404" t="inlineStr">
        <is>
          <t>Mantenimiento web</t>
        </is>
      </c>
      <c r="G404" t="inlineStr">
        <is>
          <t>Soporte anual</t>
        </is>
      </c>
      <c r="H404" t="inlineStr">
        <is>
          <t>Microsite RRHH</t>
        </is>
      </c>
      <c r="I404" t="n">
        <v>7</v>
      </c>
      <c r="J404" s="5" t="n">
        <v>2956.29</v>
      </c>
      <c r="K404" s="5">
        <f>ROUND(I404*J404,2)</f>
        <v/>
      </c>
      <c r="L404" s="3" t="n">
        <v>0.1</v>
      </c>
      <c r="M404" s="5">
        <f>ROUND(K404*(1-L404),2)</f>
        <v/>
      </c>
      <c r="N404" s="5" t="n">
        <v>13563.9</v>
      </c>
      <c r="O404" s="5">
        <f>ROUND(M404-N404,2)</f>
        <v/>
      </c>
      <c r="P404" t="inlineStr">
        <is>
          <t>Cobrada</t>
        </is>
      </c>
    </row>
    <row r="405">
      <c r="A405" t="inlineStr">
        <is>
          <t>ING-0404</t>
        </is>
      </c>
      <c r="B405" s="2" t="n">
        <v>45537</v>
      </c>
      <c r="C405" t="inlineStr">
        <is>
          <t>TalentHub</t>
        </is>
      </c>
      <c r="D405" t="inlineStr">
        <is>
          <t>Turismo</t>
        </is>
      </c>
      <c r="E405" t="inlineStr">
        <is>
          <t>Portugal</t>
        </is>
      </c>
      <c r="F405" t="inlineStr">
        <is>
          <t>Anuncios internet</t>
        </is>
      </c>
      <c r="G405" t="inlineStr">
        <is>
          <t>Proyecto puntual</t>
        </is>
      </c>
      <c r="H405" t="inlineStr">
        <is>
          <t>Campaña empleo</t>
        </is>
      </c>
      <c r="I405" t="n">
        <v>3</v>
      </c>
      <c r="J405" s="5" t="n">
        <v>1978.99</v>
      </c>
      <c r="K405" s="5">
        <f>ROUND(I405*J405,2)</f>
        <v/>
      </c>
      <c r="L405" s="3" t="n">
        <v>0.08</v>
      </c>
      <c r="M405" s="5">
        <f>ROUND(K405*(1-L405),2)</f>
        <v/>
      </c>
      <c r="N405" s="5" t="n">
        <v>3770.21</v>
      </c>
      <c r="O405" s="5">
        <f>ROUND(M405-N405,2)</f>
        <v/>
      </c>
      <c r="P405" t="inlineStr">
        <is>
          <t>Cobrada</t>
        </is>
      </c>
    </row>
    <row r="406">
      <c r="A406" t="inlineStr">
        <is>
          <t>ING-0405</t>
        </is>
      </c>
      <c r="B406" s="2" t="n">
        <v>45407</v>
      </c>
      <c r="C406" t="inlineStr">
        <is>
          <t>Grupo Atlas</t>
        </is>
      </c>
      <c r="D406" t="inlineStr">
        <is>
          <t>Salud</t>
        </is>
      </c>
      <c r="E406" t="inlineStr">
        <is>
          <t>Colombia</t>
        </is>
      </c>
      <c r="F406" t="inlineStr">
        <is>
          <t>Generación de noticias</t>
        </is>
      </c>
      <c r="G406" t="inlineStr">
        <is>
          <t>Campaña</t>
        </is>
      </c>
      <c r="H406" t="inlineStr">
        <is>
          <t>Intranet operaciones</t>
        </is>
      </c>
      <c r="I406" t="n">
        <v>94</v>
      </c>
      <c r="J406" s="5" t="n">
        <v>174.85</v>
      </c>
      <c r="K406" s="5">
        <f>ROUND(I406*J406,2)</f>
        <v/>
      </c>
      <c r="L406" s="3" t="n">
        <v>0.05</v>
      </c>
      <c r="M406" s="5">
        <f>ROUND(K406*(1-L406),2)</f>
        <v/>
      </c>
      <c r="N406" s="5" t="n">
        <v>6758.86</v>
      </c>
      <c r="O406" s="5">
        <f>ROUND(M406-N406,2)</f>
        <v/>
      </c>
      <c r="P406" t="inlineStr">
        <is>
          <t>Emitida</t>
        </is>
      </c>
    </row>
    <row r="407">
      <c r="A407" t="inlineStr">
        <is>
          <t>ING-0406</t>
        </is>
      </c>
      <c r="B407" s="2" t="n">
        <v>45716</v>
      </c>
      <c r="C407" t="inlineStr">
        <is>
          <t>Grupo Atlas</t>
        </is>
      </c>
      <c r="D407" t="inlineStr">
        <is>
          <t>Educación</t>
        </is>
      </c>
      <c r="E407" t="inlineStr">
        <is>
          <t>Colombia</t>
        </is>
      </c>
      <c r="F407" t="inlineStr">
        <is>
          <t>Anuncios RRHH</t>
        </is>
      </c>
      <c r="G407" t="inlineStr">
        <is>
          <t>Proyecto puntual</t>
        </is>
      </c>
      <c r="H407" t="inlineStr">
        <is>
          <t>Microsite RRHH</t>
        </is>
      </c>
      <c r="I407" t="n">
        <v>2</v>
      </c>
      <c r="J407" s="5" t="n">
        <v>662.22</v>
      </c>
      <c r="K407" s="5">
        <f>ROUND(I407*J407,2)</f>
        <v/>
      </c>
      <c r="L407" s="3" t="n">
        <v>0.03</v>
      </c>
      <c r="M407" s="5">
        <f>ROUND(K407*(1-L407),2)</f>
        <v/>
      </c>
      <c r="N407" s="5" t="n">
        <v>691.54</v>
      </c>
      <c r="O407" s="5">
        <f>ROUND(M407-N407,2)</f>
        <v/>
      </c>
      <c r="P407" t="inlineStr">
        <is>
          <t>Cobrada</t>
        </is>
      </c>
    </row>
    <row r="408">
      <c r="A408" t="inlineStr">
        <is>
          <t>ING-0407</t>
        </is>
      </c>
      <c r="B408" s="2" t="n">
        <v>45422</v>
      </c>
      <c r="C408" t="inlineStr">
        <is>
          <t>TurisWorld</t>
        </is>
      </c>
      <c r="D408" t="inlineStr">
        <is>
          <t>Logística</t>
        </is>
      </c>
      <c r="E408" t="inlineStr">
        <is>
          <t>España</t>
        </is>
      </c>
      <c r="F408" t="inlineStr">
        <is>
          <t>Publicación de noticias</t>
        </is>
      </c>
      <c r="G408" t="inlineStr">
        <is>
          <t>Proyecto puntual</t>
        </is>
      </c>
      <c r="H408" t="inlineStr">
        <is>
          <t>Sección noticias</t>
        </is>
      </c>
      <c r="I408" t="n">
        <v>28</v>
      </c>
      <c r="J408" s="5" t="n">
        <v>80.02</v>
      </c>
      <c r="K408" s="5">
        <f>ROUND(I408*J408,2)</f>
        <v/>
      </c>
      <c r="L408" s="3" t="n">
        <v>0</v>
      </c>
      <c r="M408" s="5">
        <f>ROUND(K408*(1-L408),2)</f>
        <v/>
      </c>
      <c r="N408" s="5" t="n">
        <v>1002.74</v>
      </c>
      <c r="O408" s="5">
        <f>ROUND(M408-N408,2)</f>
        <v/>
      </c>
      <c r="P408" t="inlineStr">
        <is>
          <t>Emitida</t>
        </is>
      </c>
    </row>
    <row r="409">
      <c r="A409" t="inlineStr">
        <is>
          <t>ING-0408</t>
        </is>
      </c>
      <c r="B409" s="2" t="n">
        <v>45695</v>
      </c>
      <c r="C409" t="inlineStr">
        <is>
          <t>Nova Salud</t>
        </is>
      </c>
      <c r="D409" t="inlineStr">
        <is>
          <t>Logística</t>
        </is>
      </c>
      <c r="E409" t="inlineStr">
        <is>
          <t>España</t>
        </is>
      </c>
      <c r="F409" t="inlineStr">
        <is>
          <t>Generación de noticias</t>
        </is>
      </c>
      <c r="G409" t="inlineStr">
        <is>
          <t>Campaña</t>
        </is>
      </c>
      <c r="H409" t="inlineStr">
        <is>
          <t>Portal corporativo</t>
        </is>
      </c>
      <c r="I409" t="n">
        <v>114</v>
      </c>
      <c r="J409" s="5" t="n">
        <v>53.33</v>
      </c>
      <c r="K409" s="5">
        <f>ROUND(I409*J409,2)</f>
        <v/>
      </c>
      <c r="L409" s="3" t="n">
        <v>0.03</v>
      </c>
      <c r="M409" s="5">
        <f>ROUND(K409*(1-L409),2)</f>
        <v/>
      </c>
      <c r="N409" s="5" t="n">
        <v>1559.87</v>
      </c>
      <c r="O409" s="5">
        <f>ROUND(M409-N409,2)</f>
        <v/>
      </c>
      <c r="P409" t="inlineStr">
        <is>
          <t>Emitida</t>
        </is>
      </c>
    </row>
    <row r="410">
      <c r="A410" t="inlineStr">
        <is>
          <t>ING-0409</t>
        </is>
      </c>
      <c r="B410" s="2" t="n">
        <v>45369</v>
      </c>
      <c r="C410" t="inlineStr">
        <is>
          <t>Innova Retail</t>
        </is>
      </c>
      <c r="D410" t="inlineStr">
        <is>
          <t>Educación</t>
        </is>
      </c>
      <c r="E410" t="inlineStr">
        <is>
          <t>Colombia</t>
        </is>
      </c>
      <c r="F410" t="inlineStr">
        <is>
          <t>Mantenimiento web</t>
        </is>
      </c>
      <c r="G410" t="inlineStr">
        <is>
          <t>Campaña</t>
        </is>
      </c>
      <c r="H410" t="inlineStr">
        <is>
          <t>Intranet operaciones</t>
        </is>
      </c>
      <c r="I410" t="n">
        <v>7</v>
      </c>
      <c r="J410" s="5" t="n">
        <v>2737.57</v>
      </c>
      <c r="K410" s="5">
        <f>ROUND(I410*J410,2)</f>
        <v/>
      </c>
      <c r="L410" s="3" t="n">
        <v>0</v>
      </c>
      <c r="M410" s="5">
        <f>ROUND(K410*(1-L410),2)</f>
        <v/>
      </c>
      <c r="N410" s="5" t="n">
        <v>6792.89</v>
      </c>
      <c r="O410" s="5">
        <f>ROUND(M410-N410,2)</f>
        <v/>
      </c>
      <c r="P410" t="inlineStr">
        <is>
          <t>Emitida</t>
        </is>
      </c>
    </row>
    <row r="411">
      <c r="A411" t="inlineStr">
        <is>
          <t>ING-0410</t>
        </is>
      </c>
      <c r="B411" s="2" t="n">
        <v>45525</v>
      </c>
      <c r="C411" t="inlineStr">
        <is>
          <t>SegurPlus</t>
        </is>
      </c>
      <c r="D411" t="inlineStr">
        <is>
          <t>Logística</t>
        </is>
      </c>
      <c r="E411" t="inlineStr">
        <is>
          <t>Chile</t>
        </is>
      </c>
      <c r="F411" t="inlineStr">
        <is>
          <t>Mantenimiento web</t>
        </is>
      </c>
      <c r="G411" t="inlineStr">
        <is>
          <t>Soporte anual</t>
        </is>
      </c>
      <c r="H411" t="inlineStr">
        <is>
          <t>Intranet operaciones</t>
        </is>
      </c>
      <c r="I411" t="n">
        <v>6</v>
      </c>
      <c r="J411" s="5" t="n">
        <v>4347.68</v>
      </c>
      <c r="K411" s="5">
        <f>ROUND(I411*J411,2)</f>
        <v/>
      </c>
      <c r="L411" s="3" t="n">
        <v>0.03</v>
      </c>
      <c r="M411" s="5">
        <f>ROUND(K411*(1-L411),2)</f>
        <v/>
      </c>
      <c r="N411" s="5" t="n">
        <v>16880.75</v>
      </c>
      <c r="O411" s="5">
        <f>ROUND(M411-N411,2)</f>
        <v/>
      </c>
      <c r="P411" t="inlineStr">
        <is>
          <t>Pendiente</t>
        </is>
      </c>
    </row>
    <row r="412">
      <c r="A412" t="inlineStr">
        <is>
          <t>ING-0411</t>
        </is>
      </c>
      <c r="B412" s="2" t="n">
        <v>45508</v>
      </c>
      <c r="C412" t="inlineStr">
        <is>
          <t>Fundación Horizonte</t>
        </is>
      </c>
      <c r="D412" t="inlineStr">
        <is>
          <t>Retail</t>
        </is>
      </c>
      <c r="E412" t="inlineStr">
        <is>
          <t>Colombia</t>
        </is>
      </c>
      <c r="F412" t="inlineStr">
        <is>
          <t>Publicación de noticias</t>
        </is>
      </c>
      <c r="G412" t="inlineStr">
        <is>
          <t>Suscripción mensual</t>
        </is>
      </c>
      <c r="H412" t="inlineStr">
        <is>
          <t>Campaña empleo</t>
        </is>
      </c>
      <c r="I412" t="n">
        <v>26</v>
      </c>
      <c r="J412" s="5" t="n">
        <v>123.08</v>
      </c>
      <c r="K412" s="5">
        <f>ROUND(I412*J412,2)</f>
        <v/>
      </c>
      <c r="L412" s="3" t="n">
        <v>0</v>
      </c>
      <c r="M412" s="5">
        <f>ROUND(K412*(1-L412),2)</f>
        <v/>
      </c>
      <c r="N412" s="5" t="n">
        <v>1616.81</v>
      </c>
      <c r="O412" s="5">
        <f>ROUND(M412-N412,2)</f>
        <v/>
      </c>
      <c r="P412" t="inlineStr">
        <is>
          <t>Cobrada</t>
        </is>
      </c>
    </row>
    <row r="413">
      <c r="A413" t="inlineStr">
        <is>
          <t>ING-0412</t>
        </is>
      </c>
      <c r="B413" s="2" t="n">
        <v>45473</v>
      </c>
      <c r="C413" t="inlineStr">
        <is>
          <t>TalentHub</t>
        </is>
      </c>
      <c r="D413" t="inlineStr">
        <is>
          <t>Retail</t>
        </is>
      </c>
      <c r="E413" t="inlineStr">
        <is>
          <t>España</t>
        </is>
      </c>
      <c r="F413" t="inlineStr">
        <is>
          <t>Publicación de noticias</t>
        </is>
      </c>
      <c r="G413" t="inlineStr">
        <is>
          <t>Retainer trimestral</t>
        </is>
      </c>
      <c r="H413" t="inlineStr">
        <is>
          <t>Intranet operaciones</t>
        </is>
      </c>
      <c r="I413" t="n">
        <v>118</v>
      </c>
      <c r="J413" s="5" t="n">
        <v>137.19</v>
      </c>
      <c r="K413" s="5">
        <f>ROUND(I413*J413,2)</f>
        <v/>
      </c>
      <c r="L413" s="3" t="n">
        <v>0.05</v>
      </c>
      <c r="M413" s="5">
        <f>ROUND(K413*(1-L413),2)</f>
        <v/>
      </c>
      <c r="N413" s="5" t="n">
        <v>7232.29</v>
      </c>
      <c r="O413" s="5">
        <f>ROUND(M413-N413,2)</f>
        <v/>
      </c>
      <c r="P413" t="inlineStr">
        <is>
          <t>Emitida</t>
        </is>
      </c>
    </row>
    <row r="414">
      <c r="A414" t="inlineStr">
        <is>
          <t>ING-0413</t>
        </is>
      </c>
      <c r="B414" s="2" t="n">
        <v>45723</v>
      </c>
      <c r="C414" t="inlineStr">
        <is>
          <t>TurisWorld</t>
        </is>
      </c>
      <c r="D414" t="inlineStr">
        <is>
          <t>Finanzas</t>
        </is>
      </c>
      <c r="E414" t="inlineStr">
        <is>
          <t>Chile</t>
        </is>
      </c>
      <c r="F414" t="inlineStr">
        <is>
          <t>Publicación de noticias</t>
        </is>
      </c>
      <c r="G414" t="inlineStr">
        <is>
          <t>Suscripción mensual</t>
        </is>
      </c>
      <c r="H414" t="inlineStr">
        <is>
          <t>Sección noticias</t>
        </is>
      </c>
      <c r="I414" t="n">
        <v>61</v>
      </c>
      <c r="J414" s="5" t="n">
        <v>56.03</v>
      </c>
      <c r="K414" s="5">
        <f>ROUND(I414*J414,2)</f>
        <v/>
      </c>
      <c r="L414" s="3" t="n">
        <v>0</v>
      </c>
      <c r="M414" s="5">
        <f>ROUND(K414*(1-L414),2)</f>
        <v/>
      </c>
      <c r="N414" s="5" t="n">
        <v>2032.06</v>
      </c>
      <c r="O414" s="5">
        <f>ROUND(M414-N414,2)</f>
        <v/>
      </c>
      <c r="P414" t="inlineStr">
        <is>
          <t>Cobrada</t>
        </is>
      </c>
    </row>
    <row r="415">
      <c r="A415" t="inlineStr">
        <is>
          <t>ING-0414</t>
        </is>
      </c>
      <c r="B415" s="2" t="n">
        <v>45379</v>
      </c>
      <c r="C415" t="inlineStr">
        <is>
          <t>EducaPro</t>
        </is>
      </c>
      <c r="D415" t="inlineStr">
        <is>
          <t>Tecnología</t>
        </is>
      </c>
      <c r="E415" t="inlineStr">
        <is>
          <t>Chile</t>
        </is>
      </c>
      <c r="F415" t="inlineStr">
        <is>
          <t>Publicación de noticias</t>
        </is>
      </c>
      <c r="G415" t="inlineStr">
        <is>
          <t>Suscripción mensual</t>
        </is>
      </c>
      <c r="H415" t="inlineStr">
        <is>
          <t>Intranet operaciones</t>
        </is>
      </c>
      <c r="I415" t="n">
        <v>87</v>
      </c>
      <c r="J415" s="5" t="n">
        <v>151.34</v>
      </c>
      <c r="K415" s="5">
        <f>ROUND(I415*J415,2)</f>
        <v/>
      </c>
      <c r="L415" s="3" t="n">
        <v>0.1</v>
      </c>
      <c r="M415" s="5">
        <f>ROUND(K415*(1-L415),2)</f>
        <v/>
      </c>
      <c r="N415" s="5" t="n">
        <v>7399.32</v>
      </c>
      <c r="O415" s="5">
        <f>ROUND(M415-N415,2)</f>
        <v/>
      </c>
      <c r="P415" t="inlineStr">
        <is>
          <t>Emitida</t>
        </is>
      </c>
    </row>
    <row r="416">
      <c r="A416" t="inlineStr">
        <is>
          <t>ING-0415</t>
        </is>
      </c>
      <c r="B416" s="2" t="n">
        <v>45549</v>
      </c>
      <c r="C416" t="inlineStr">
        <is>
          <t>Legal360</t>
        </is>
      </c>
      <c r="D416" t="inlineStr">
        <is>
          <t>Finanzas</t>
        </is>
      </c>
      <c r="E416" t="inlineStr">
        <is>
          <t>Chile</t>
        </is>
      </c>
      <c r="F416" t="inlineStr">
        <is>
          <t>Anuncios RRHH</t>
        </is>
      </c>
      <c r="G416" t="inlineStr">
        <is>
          <t>Retainer trimestral</t>
        </is>
      </c>
      <c r="H416" t="inlineStr">
        <is>
          <t>Portal internacional</t>
        </is>
      </c>
      <c r="I416" t="n">
        <v>5</v>
      </c>
      <c r="J416" s="5" t="n">
        <v>1169.28</v>
      </c>
      <c r="K416" s="5">
        <f>ROUND(I416*J416,2)</f>
        <v/>
      </c>
      <c r="L416" s="3" t="n">
        <v>0.08</v>
      </c>
      <c r="M416" s="5">
        <f>ROUND(K416*(1-L416),2)</f>
        <v/>
      </c>
      <c r="N416" s="5" t="n">
        <v>3404.38</v>
      </c>
      <c r="O416" s="5">
        <f>ROUND(M416-N416,2)</f>
        <v/>
      </c>
      <c r="P416" t="inlineStr">
        <is>
          <t>Pendiente</t>
        </is>
      </c>
    </row>
    <row r="417">
      <c r="A417" t="inlineStr">
        <is>
          <t>ING-0416</t>
        </is>
      </c>
      <c r="B417" s="2" t="n">
        <v>45645</v>
      </c>
      <c r="C417" t="inlineStr">
        <is>
          <t>ClinicPoint</t>
        </is>
      </c>
      <c r="D417" t="inlineStr">
        <is>
          <t>Retail</t>
        </is>
      </c>
      <c r="E417" t="inlineStr">
        <is>
          <t>España</t>
        </is>
      </c>
      <c r="F417" t="inlineStr">
        <is>
          <t>Traducciones</t>
        </is>
      </c>
      <c r="G417" t="inlineStr">
        <is>
          <t>Campaña</t>
        </is>
      </c>
      <c r="H417" t="inlineStr">
        <is>
          <t>Portal corporativo</t>
        </is>
      </c>
      <c r="I417" t="n">
        <v>117</v>
      </c>
      <c r="J417" s="5" t="n">
        <v>83.81</v>
      </c>
      <c r="K417" s="5">
        <f>ROUND(I417*J417,2)</f>
        <v/>
      </c>
      <c r="L417" s="3" t="n">
        <v>0.1</v>
      </c>
      <c r="M417" s="5">
        <f>ROUND(K417*(1-L417),2)</f>
        <v/>
      </c>
      <c r="N417" s="5" t="n">
        <v>5612.4</v>
      </c>
      <c r="O417" s="5">
        <f>ROUND(M417-N417,2)</f>
        <v/>
      </c>
      <c r="P417" t="inlineStr">
        <is>
          <t>Emitida</t>
        </is>
      </c>
    </row>
    <row r="418">
      <c r="A418" t="inlineStr">
        <is>
          <t>ING-0417</t>
        </is>
      </c>
      <c r="B418" s="2" t="n">
        <v>45601</v>
      </c>
      <c r="C418" t="inlineStr">
        <is>
          <t>TechSphere</t>
        </is>
      </c>
      <c r="D418" t="inlineStr">
        <is>
          <t>Educación</t>
        </is>
      </c>
      <c r="E418" t="inlineStr">
        <is>
          <t>Chile</t>
        </is>
      </c>
      <c r="F418" t="inlineStr">
        <is>
          <t>Anuncios RRHH</t>
        </is>
      </c>
      <c r="G418" t="inlineStr">
        <is>
          <t>Campaña</t>
        </is>
      </c>
      <c r="H418" t="inlineStr">
        <is>
          <t>Sección noticias</t>
        </is>
      </c>
      <c r="I418" t="n">
        <v>17</v>
      </c>
      <c r="J418" s="5" t="n">
        <v>1407.2</v>
      </c>
      <c r="K418" s="5">
        <f>ROUND(I418*J418,2)</f>
        <v/>
      </c>
      <c r="L418" s="3" t="n">
        <v>0.08</v>
      </c>
      <c r="M418" s="5">
        <f>ROUND(K418*(1-L418),2)</f>
        <v/>
      </c>
      <c r="N418" s="5" t="n">
        <v>14295.22</v>
      </c>
      <c r="O418" s="5">
        <f>ROUND(M418-N418,2)</f>
        <v/>
      </c>
      <c r="P418" t="inlineStr">
        <is>
          <t>Pendiente</t>
        </is>
      </c>
    </row>
    <row r="419">
      <c r="A419" t="inlineStr">
        <is>
          <t>ING-0418</t>
        </is>
      </c>
      <c r="B419" s="2" t="n">
        <v>45743</v>
      </c>
      <c r="C419" t="inlineStr">
        <is>
          <t>Fundación Horizonte</t>
        </is>
      </c>
      <c r="D419" t="inlineStr">
        <is>
          <t>Salud</t>
        </is>
      </c>
      <c r="E419" t="inlineStr">
        <is>
          <t>España</t>
        </is>
      </c>
      <c r="F419" t="inlineStr">
        <is>
          <t>Anuncios internet</t>
        </is>
      </c>
      <c r="G419" t="inlineStr">
        <is>
          <t>Soporte anual</t>
        </is>
      </c>
      <c r="H419" t="inlineStr">
        <is>
          <t>Sección noticias</t>
        </is>
      </c>
      <c r="I419" t="n">
        <v>27</v>
      </c>
      <c r="J419" s="5" t="n">
        <v>1346.3</v>
      </c>
      <c r="K419" s="5">
        <f>ROUND(I419*J419,2)</f>
        <v/>
      </c>
      <c r="L419" s="3" t="n">
        <v>0</v>
      </c>
      <c r="M419" s="5">
        <f>ROUND(K419*(1-L419),2)</f>
        <v/>
      </c>
      <c r="N419" s="5" t="n">
        <v>14272.18</v>
      </c>
      <c r="O419" s="5">
        <f>ROUND(M419-N419,2)</f>
        <v/>
      </c>
      <c r="P419" t="inlineStr">
        <is>
          <t>Pendiente</t>
        </is>
      </c>
    </row>
    <row r="420">
      <c r="A420" t="inlineStr">
        <is>
          <t>ING-0419</t>
        </is>
      </c>
      <c r="B420" s="2" t="n">
        <v>45606</v>
      </c>
      <c r="C420" t="inlineStr">
        <is>
          <t>Fundación Horizonte</t>
        </is>
      </c>
      <c r="D420" t="inlineStr">
        <is>
          <t>Legal</t>
        </is>
      </c>
      <c r="E420" t="inlineStr">
        <is>
          <t>Portugal</t>
        </is>
      </c>
      <c r="F420" t="inlineStr">
        <is>
          <t>Anuncios internet</t>
        </is>
      </c>
      <c r="G420" t="inlineStr">
        <is>
          <t>Proyecto puntual</t>
        </is>
      </c>
      <c r="H420" t="inlineStr">
        <is>
          <t>Sección noticias</t>
        </is>
      </c>
      <c r="I420" t="n">
        <v>2</v>
      </c>
      <c r="J420" s="5" t="n">
        <v>276.84</v>
      </c>
      <c r="K420" s="5">
        <f>ROUND(I420*J420,2)</f>
        <v/>
      </c>
      <c r="L420" s="3" t="n">
        <v>0.1</v>
      </c>
      <c r="M420" s="5">
        <f>ROUND(K420*(1-L420),2)</f>
        <v/>
      </c>
      <c r="N420" s="5" t="n">
        <v>269.65</v>
      </c>
      <c r="O420" s="5">
        <f>ROUND(M420-N420,2)</f>
        <v/>
      </c>
      <c r="P420" t="inlineStr">
        <is>
          <t>Emitida</t>
        </is>
      </c>
    </row>
    <row r="421">
      <c r="A421" t="inlineStr">
        <is>
          <t>ING-0420</t>
        </is>
      </c>
      <c r="B421" s="2" t="n">
        <v>45434</v>
      </c>
      <c r="C421" t="inlineStr">
        <is>
          <t>TechSphere</t>
        </is>
      </c>
      <c r="D421" t="inlineStr">
        <is>
          <t>RRHH</t>
        </is>
      </c>
      <c r="E421" t="inlineStr">
        <is>
          <t>Portugal</t>
        </is>
      </c>
      <c r="F421" t="inlineStr">
        <is>
          <t>Mantenimiento web</t>
        </is>
      </c>
      <c r="G421" t="inlineStr">
        <is>
          <t>Soporte anual</t>
        </is>
      </c>
      <c r="H421" t="inlineStr">
        <is>
          <t>Intranet comercial</t>
        </is>
      </c>
      <c r="I421" t="n">
        <v>2</v>
      </c>
      <c r="J421" s="5" t="n">
        <v>1898.73</v>
      </c>
      <c r="K421" s="5">
        <f>ROUND(I421*J421,2)</f>
        <v/>
      </c>
      <c r="L421" s="3" t="n">
        <v>0</v>
      </c>
      <c r="M421" s="5">
        <f>ROUND(K421*(1-L421),2)</f>
        <v/>
      </c>
      <c r="N421" s="5" t="n">
        <v>1745.04</v>
      </c>
      <c r="O421" s="5">
        <f>ROUND(M421-N421,2)</f>
        <v/>
      </c>
      <c r="P421" t="inlineStr">
        <is>
          <t>Cobrada</t>
        </is>
      </c>
    </row>
    <row r="422">
      <c r="A422" t="inlineStr">
        <is>
          <t>ING-0421</t>
        </is>
      </c>
      <c r="B422" s="2" t="n">
        <v>45636</v>
      </c>
      <c r="C422" t="inlineStr">
        <is>
          <t>FinanData</t>
        </is>
      </c>
      <c r="D422" t="inlineStr">
        <is>
          <t>RRHH</t>
        </is>
      </c>
      <c r="E422" t="inlineStr">
        <is>
          <t>España</t>
        </is>
      </c>
      <c r="F422" t="inlineStr">
        <is>
          <t>Anuncios RRHH</t>
        </is>
      </c>
      <c r="G422" t="inlineStr">
        <is>
          <t>Proyecto puntual</t>
        </is>
      </c>
      <c r="H422" t="inlineStr">
        <is>
          <t>Portal corporativo</t>
        </is>
      </c>
      <c r="I422" t="n">
        <v>21</v>
      </c>
      <c r="J422" s="5" t="n">
        <v>1819.77</v>
      </c>
      <c r="K422" s="5">
        <f>ROUND(I422*J422,2)</f>
        <v/>
      </c>
      <c r="L422" s="3" t="n">
        <v>0.1</v>
      </c>
      <c r="M422" s="5">
        <f>ROUND(K422*(1-L422),2)</f>
        <v/>
      </c>
      <c r="N422" s="5" t="n">
        <v>21074.64</v>
      </c>
      <c r="O422" s="5">
        <f>ROUND(M422-N422,2)</f>
        <v/>
      </c>
      <c r="P422" t="inlineStr">
        <is>
          <t>Emitida</t>
        </is>
      </c>
    </row>
    <row r="423">
      <c r="A423" t="inlineStr">
        <is>
          <t>ING-0422</t>
        </is>
      </c>
      <c r="B423" s="2" t="n">
        <v>45659</v>
      </c>
      <c r="C423" t="inlineStr">
        <is>
          <t>Campus One</t>
        </is>
      </c>
      <c r="D423" t="inlineStr">
        <is>
          <t>Industria</t>
        </is>
      </c>
      <c r="E423" t="inlineStr">
        <is>
          <t>México</t>
        </is>
      </c>
      <c r="F423" t="inlineStr">
        <is>
          <t>Mantenimiento web</t>
        </is>
      </c>
      <c r="G423" t="inlineStr">
        <is>
          <t>Proyecto puntual</t>
        </is>
      </c>
      <c r="H423" t="inlineStr">
        <is>
          <t>Intranet comercial</t>
        </is>
      </c>
      <c r="I423" t="n">
        <v>3</v>
      </c>
      <c r="J423" s="5" t="n">
        <v>1688.46</v>
      </c>
      <c r="K423" s="5">
        <f>ROUND(I423*J423,2)</f>
        <v/>
      </c>
      <c r="L423" s="3" t="n">
        <v>0</v>
      </c>
      <c r="M423" s="5">
        <f>ROUND(K423*(1-L423),2)</f>
        <v/>
      </c>
      <c r="N423" s="5" t="n">
        <v>1552.12</v>
      </c>
      <c r="O423" s="5">
        <f>ROUND(M423-N423,2)</f>
        <v/>
      </c>
      <c r="P423" t="inlineStr">
        <is>
          <t>Cobrada</t>
        </is>
      </c>
    </row>
    <row r="424">
      <c r="A424" t="inlineStr">
        <is>
          <t>ING-0423</t>
        </is>
      </c>
      <c r="B424" s="2" t="n">
        <v>45745</v>
      </c>
      <c r="C424" t="inlineStr">
        <is>
          <t>Nova Salud</t>
        </is>
      </c>
      <c r="D424" t="inlineStr">
        <is>
          <t>Administración pública</t>
        </is>
      </c>
      <c r="E424" t="inlineStr">
        <is>
          <t>México</t>
        </is>
      </c>
      <c r="F424" t="inlineStr">
        <is>
          <t>Mantenimiento intranets</t>
        </is>
      </c>
      <c r="G424" t="inlineStr">
        <is>
          <t>Campaña</t>
        </is>
      </c>
      <c r="H424" t="inlineStr">
        <is>
          <t>Campaña empleo</t>
        </is>
      </c>
      <c r="I424" t="n">
        <v>3</v>
      </c>
      <c r="J424" s="5" t="n">
        <v>2712.02</v>
      </c>
      <c r="K424" s="5">
        <f>ROUND(I424*J424,2)</f>
        <v/>
      </c>
      <c r="L424" s="3" t="n">
        <v>0</v>
      </c>
      <c r="M424" s="5">
        <f>ROUND(K424*(1-L424),2)</f>
        <v/>
      </c>
      <c r="N424" s="5" t="n">
        <v>3496.14</v>
      </c>
      <c r="O424" s="5">
        <f>ROUND(M424-N424,2)</f>
        <v/>
      </c>
      <c r="P424" t="inlineStr">
        <is>
          <t>Pendiente</t>
        </is>
      </c>
    </row>
    <row r="425">
      <c r="A425" t="inlineStr">
        <is>
          <t>ING-0424</t>
        </is>
      </c>
      <c r="B425" s="2" t="n">
        <v>45527</v>
      </c>
      <c r="C425" t="inlineStr">
        <is>
          <t>Industrias Vega</t>
        </is>
      </c>
      <c r="D425" t="inlineStr">
        <is>
          <t>Administración pública</t>
        </is>
      </c>
      <c r="E425" t="inlineStr">
        <is>
          <t>Chile</t>
        </is>
      </c>
      <c r="F425" t="inlineStr">
        <is>
          <t>Mantenimiento web</t>
        </is>
      </c>
      <c r="G425" t="inlineStr">
        <is>
          <t>Suscripción mensual</t>
        </is>
      </c>
      <c r="H425" t="inlineStr">
        <is>
          <t>Campaña empleo</t>
        </is>
      </c>
      <c r="I425" t="n">
        <v>4</v>
      </c>
      <c r="J425" s="5" t="n">
        <v>4265.65</v>
      </c>
      <c r="K425" s="5">
        <f>ROUND(I425*J425,2)</f>
        <v/>
      </c>
      <c r="L425" s="3" t="n">
        <v>0</v>
      </c>
      <c r="M425" s="5">
        <f>ROUND(K425*(1-L425),2)</f>
        <v/>
      </c>
      <c r="N425" s="5" t="n">
        <v>7493.68</v>
      </c>
      <c r="O425" s="5">
        <f>ROUND(M425-N425,2)</f>
        <v/>
      </c>
      <c r="P425" t="inlineStr">
        <is>
          <t>Emitida</t>
        </is>
      </c>
    </row>
    <row r="426">
      <c r="A426" t="inlineStr">
        <is>
          <t>ING-0425</t>
        </is>
      </c>
      <c r="B426" s="2" t="n">
        <v>45643</v>
      </c>
      <c r="C426" t="inlineStr">
        <is>
          <t>EducaPro</t>
        </is>
      </c>
      <c r="D426" t="inlineStr">
        <is>
          <t>Industria</t>
        </is>
      </c>
      <c r="E426" t="inlineStr">
        <is>
          <t>México</t>
        </is>
      </c>
      <c r="F426" t="inlineStr">
        <is>
          <t>Mantenimiento web</t>
        </is>
      </c>
      <c r="G426" t="inlineStr">
        <is>
          <t>Campaña</t>
        </is>
      </c>
      <c r="H426" t="inlineStr">
        <is>
          <t>Portal corporativo</t>
        </is>
      </c>
      <c r="I426" t="n">
        <v>2</v>
      </c>
      <c r="J426" s="5" t="n">
        <v>2396.56</v>
      </c>
      <c r="K426" s="5">
        <f>ROUND(I426*J426,2)</f>
        <v/>
      </c>
      <c r="L426" s="3" t="n">
        <v>0</v>
      </c>
      <c r="M426" s="5">
        <f>ROUND(K426*(1-L426),2)</f>
        <v/>
      </c>
      <c r="N426" s="5" t="n">
        <v>3019.13</v>
      </c>
      <c r="O426" s="5">
        <f>ROUND(M426-N426,2)</f>
        <v/>
      </c>
      <c r="P426" t="inlineStr">
        <is>
          <t>Pendiente</t>
        </is>
      </c>
    </row>
    <row r="427">
      <c r="A427" t="inlineStr">
        <is>
          <t>ING-0426</t>
        </is>
      </c>
      <c r="B427" s="2" t="n">
        <v>45418</v>
      </c>
      <c r="C427" t="inlineStr">
        <is>
          <t>Prensa Local 24</t>
        </is>
      </c>
      <c r="D427" t="inlineStr">
        <is>
          <t>Turismo</t>
        </is>
      </c>
      <c r="E427" t="inlineStr">
        <is>
          <t>España</t>
        </is>
      </c>
      <c r="F427" t="inlineStr">
        <is>
          <t>Anuncios TV</t>
        </is>
      </c>
      <c r="G427" t="inlineStr">
        <is>
          <t>Soporte anual</t>
        </is>
      </c>
      <c r="H427" t="inlineStr">
        <is>
          <t>Microsite RRHH</t>
        </is>
      </c>
      <c r="I427" t="n">
        <v>5</v>
      </c>
      <c r="J427" s="5" t="n">
        <v>2368.66</v>
      </c>
      <c r="K427" s="5">
        <f>ROUND(I427*J427,2)</f>
        <v/>
      </c>
      <c r="L427" s="3" t="n">
        <v>0.05</v>
      </c>
      <c r="M427" s="5">
        <f>ROUND(K427*(1-L427),2)</f>
        <v/>
      </c>
      <c r="N427" s="5" t="n">
        <v>3109.39</v>
      </c>
      <c r="O427" s="5">
        <f>ROUND(M427-N427,2)</f>
        <v/>
      </c>
      <c r="P427" t="inlineStr">
        <is>
          <t>Emitida</t>
        </is>
      </c>
    </row>
    <row r="428">
      <c r="A428" t="inlineStr">
        <is>
          <t>ING-0427</t>
        </is>
      </c>
      <c r="B428" s="2" t="n">
        <v>45352</v>
      </c>
      <c r="C428" t="inlineStr">
        <is>
          <t>Legal360</t>
        </is>
      </c>
      <c r="D428" t="inlineStr">
        <is>
          <t>Industria</t>
        </is>
      </c>
      <c r="E428" t="inlineStr">
        <is>
          <t>España</t>
        </is>
      </c>
      <c r="F428" t="inlineStr">
        <is>
          <t>Publicación de noticias</t>
        </is>
      </c>
      <c r="G428" t="inlineStr">
        <is>
          <t>Soporte anual</t>
        </is>
      </c>
      <c r="H428" t="inlineStr">
        <is>
          <t>Portal corporativo</t>
        </is>
      </c>
      <c r="I428" t="n">
        <v>15</v>
      </c>
      <c r="J428" s="5" t="n">
        <v>152.2</v>
      </c>
      <c r="K428" s="5">
        <f>ROUND(I428*J428,2)</f>
        <v/>
      </c>
      <c r="L428" s="3" t="n">
        <v>0.03</v>
      </c>
      <c r="M428" s="5">
        <f>ROUND(K428*(1-L428),2)</f>
        <v/>
      </c>
      <c r="N428" s="5" t="n">
        <v>770.08</v>
      </c>
      <c r="O428" s="5">
        <f>ROUND(M428-N428,2)</f>
        <v/>
      </c>
      <c r="P428" t="inlineStr">
        <is>
          <t>Cobrada</t>
        </is>
      </c>
    </row>
    <row r="429">
      <c r="A429" t="inlineStr">
        <is>
          <t>ING-0428</t>
        </is>
      </c>
      <c r="B429" s="2" t="n">
        <v>45493</v>
      </c>
      <c r="C429" t="inlineStr">
        <is>
          <t>Campus One</t>
        </is>
      </c>
      <c r="D429" t="inlineStr">
        <is>
          <t>Salud</t>
        </is>
      </c>
      <c r="E429" t="inlineStr">
        <is>
          <t>Colombia</t>
        </is>
      </c>
      <c r="F429" t="inlineStr">
        <is>
          <t>Anuncios TV</t>
        </is>
      </c>
      <c r="G429" t="inlineStr">
        <is>
          <t>Proyecto puntual</t>
        </is>
      </c>
      <c r="H429" t="inlineStr">
        <is>
          <t>Microsite RRHH</t>
        </is>
      </c>
      <c r="I429" t="n">
        <v>28</v>
      </c>
      <c r="J429" s="5" t="n">
        <v>1131.56</v>
      </c>
      <c r="K429" s="5">
        <f>ROUND(I429*J429,2)</f>
        <v/>
      </c>
      <c r="L429" s="3" t="n">
        <v>0</v>
      </c>
      <c r="M429" s="5">
        <f>ROUND(K429*(1-L429),2)</f>
        <v/>
      </c>
      <c r="N429" s="5" t="n">
        <v>21132.22</v>
      </c>
      <c r="O429" s="5">
        <f>ROUND(M429-N429,2)</f>
        <v/>
      </c>
      <c r="P429" t="inlineStr">
        <is>
          <t>Emitida</t>
        </is>
      </c>
    </row>
    <row r="430">
      <c r="A430" t="inlineStr">
        <is>
          <t>ING-0429</t>
        </is>
      </c>
      <c r="B430" s="2" t="n">
        <v>45438</v>
      </c>
      <c r="C430" t="inlineStr">
        <is>
          <t>Ayuntamiento Norte</t>
        </is>
      </c>
      <c r="D430" t="inlineStr">
        <is>
          <t>Turismo</t>
        </is>
      </c>
      <c r="E430" t="inlineStr">
        <is>
          <t>España</t>
        </is>
      </c>
      <c r="F430" t="inlineStr">
        <is>
          <t>Anuncios TV</t>
        </is>
      </c>
      <c r="G430" t="inlineStr">
        <is>
          <t>Campaña</t>
        </is>
      </c>
      <c r="H430" t="inlineStr">
        <is>
          <t>Microsite RRHH</t>
        </is>
      </c>
      <c r="I430" t="n">
        <v>13</v>
      </c>
      <c r="J430" s="5" t="n">
        <v>999.9299999999999</v>
      </c>
      <c r="K430" s="5">
        <f>ROUND(I430*J430,2)</f>
        <v/>
      </c>
      <c r="L430" s="3" t="n">
        <v>0.05</v>
      </c>
      <c r="M430" s="5">
        <f>ROUND(K430*(1-L430),2)</f>
        <v/>
      </c>
      <c r="N430" s="5" t="n">
        <v>4944.5</v>
      </c>
      <c r="O430" s="5">
        <f>ROUND(M430-N430,2)</f>
        <v/>
      </c>
      <c r="P430" t="inlineStr">
        <is>
          <t>Emitida</t>
        </is>
      </c>
    </row>
    <row r="431">
      <c r="A431" t="inlineStr">
        <is>
          <t>ING-0430</t>
        </is>
      </c>
      <c r="B431" s="2" t="n">
        <v>45505</v>
      </c>
      <c r="C431" t="inlineStr">
        <is>
          <t>Industrias Vega</t>
        </is>
      </c>
      <c r="D431" t="inlineStr">
        <is>
          <t>Salud</t>
        </is>
      </c>
      <c r="E431" t="inlineStr">
        <is>
          <t>México</t>
        </is>
      </c>
      <c r="F431" t="inlineStr">
        <is>
          <t>Generación de noticias</t>
        </is>
      </c>
      <c r="G431" t="inlineStr">
        <is>
          <t>Soporte anual</t>
        </is>
      </c>
      <c r="H431" t="inlineStr">
        <is>
          <t>Microsite RRHH</t>
        </is>
      </c>
      <c r="I431" t="n">
        <v>103</v>
      </c>
      <c r="J431" s="5" t="n">
        <v>66.40000000000001</v>
      </c>
      <c r="K431" s="5">
        <f>ROUND(I431*J431,2)</f>
        <v/>
      </c>
      <c r="L431" s="3" t="n">
        <v>0</v>
      </c>
      <c r="M431" s="5">
        <f>ROUND(K431*(1-L431),2)</f>
        <v/>
      </c>
      <c r="N431" s="5" t="n">
        <v>2370.63</v>
      </c>
      <c r="O431" s="5">
        <f>ROUND(M431-N431,2)</f>
        <v/>
      </c>
      <c r="P431" t="inlineStr">
        <is>
          <t>Cobrada</t>
        </is>
      </c>
    </row>
    <row r="432">
      <c r="A432" t="inlineStr">
        <is>
          <t>ING-0431</t>
        </is>
      </c>
      <c r="B432" s="2" t="n">
        <v>45719</v>
      </c>
      <c r="C432" t="inlineStr">
        <is>
          <t>Innova Retail</t>
        </is>
      </c>
      <c r="D432" t="inlineStr">
        <is>
          <t>Educación</t>
        </is>
      </c>
      <c r="E432" t="inlineStr">
        <is>
          <t>México</t>
        </is>
      </c>
      <c r="F432" t="inlineStr">
        <is>
          <t>Mantenimiento intranets</t>
        </is>
      </c>
      <c r="G432" t="inlineStr">
        <is>
          <t>Proyecto puntual</t>
        </is>
      </c>
      <c r="H432" t="inlineStr">
        <is>
          <t>Centro de prensa</t>
        </is>
      </c>
      <c r="I432" t="n">
        <v>3</v>
      </c>
      <c r="J432" s="5" t="n">
        <v>2287.23</v>
      </c>
      <c r="K432" s="5">
        <f>ROUND(I432*J432,2)</f>
        <v/>
      </c>
      <c r="L432" s="3" t="n">
        <v>0</v>
      </c>
      <c r="M432" s="5">
        <f>ROUND(K432*(1-L432),2)</f>
        <v/>
      </c>
      <c r="N432" s="5" t="n">
        <v>2995.47</v>
      </c>
      <c r="O432" s="5">
        <f>ROUND(M432-N432,2)</f>
        <v/>
      </c>
      <c r="P432" t="inlineStr">
        <is>
          <t>Cobrada</t>
        </is>
      </c>
    </row>
    <row r="433">
      <c r="A433" t="inlineStr">
        <is>
          <t>ING-0432</t>
        </is>
      </c>
      <c r="B433" s="2" t="n">
        <v>45636</v>
      </c>
      <c r="C433" t="inlineStr">
        <is>
          <t>FinanData</t>
        </is>
      </c>
      <c r="D433" t="inlineStr">
        <is>
          <t>Educación</t>
        </is>
      </c>
      <c r="E433" t="inlineStr">
        <is>
          <t>Chile</t>
        </is>
      </c>
      <c r="F433" t="inlineStr">
        <is>
          <t>Publicación de noticias</t>
        </is>
      </c>
      <c r="G433" t="inlineStr">
        <is>
          <t>Soporte anual</t>
        </is>
      </c>
      <c r="H433" t="inlineStr">
        <is>
          <t>Portal corporativo</t>
        </is>
      </c>
      <c r="I433" t="n">
        <v>88</v>
      </c>
      <c r="J433" s="5" t="n">
        <v>117.67</v>
      </c>
      <c r="K433" s="5">
        <f>ROUND(I433*J433,2)</f>
        <v/>
      </c>
      <c r="L433" s="3" t="n">
        <v>0.08</v>
      </c>
      <c r="M433" s="5">
        <f>ROUND(K433*(1-L433),2)</f>
        <v/>
      </c>
      <c r="N433" s="5" t="n">
        <v>4016.18</v>
      </c>
      <c r="O433" s="5">
        <f>ROUND(M433-N433,2)</f>
        <v/>
      </c>
      <c r="P433" t="inlineStr">
        <is>
          <t>Pendiente</t>
        </is>
      </c>
    </row>
    <row r="434">
      <c r="A434" t="inlineStr">
        <is>
          <t>ING-0433</t>
        </is>
      </c>
      <c r="B434" s="2" t="n">
        <v>45500</v>
      </c>
      <c r="C434" t="inlineStr">
        <is>
          <t>FinanData</t>
        </is>
      </c>
      <c r="D434" t="inlineStr">
        <is>
          <t>Medios</t>
        </is>
      </c>
      <c r="E434" t="inlineStr">
        <is>
          <t>Portugal</t>
        </is>
      </c>
      <c r="F434" t="inlineStr">
        <is>
          <t>Anuncios internet</t>
        </is>
      </c>
      <c r="G434" t="inlineStr">
        <is>
          <t>Retainer trimestral</t>
        </is>
      </c>
      <c r="H434" t="inlineStr">
        <is>
          <t>Intranet comercial</t>
        </is>
      </c>
      <c r="I434" t="n">
        <v>23</v>
      </c>
      <c r="J434" s="5" t="n">
        <v>1601.59</v>
      </c>
      <c r="K434" s="5">
        <f>ROUND(I434*J434,2)</f>
        <v/>
      </c>
      <c r="L434" s="3" t="n">
        <v>0.1</v>
      </c>
      <c r="M434" s="5">
        <f>ROUND(K434*(1-L434),2)</f>
        <v/>
      </c>
      <c r="N434" s="5" t="n">
        <v>20929.08</v>
      </c>
      <c r="O434" s="5">
        <f>ROUND(M434-N434,2)</f>
        <v/>
      </c>
      <c r="P434" t="inlineStr">
        <is>
          <t>Pendiente</t>
        </is>
      </c>
    </row>
    <row r="435">
      <c r="A435" t="inlineStr">
        <is>
          <t>ING-0434</t>
        </is>
      </c>
      <c r="B435" s="2" t="n">
        <v>45414</v>
      </c>
      <c r="C435" t="inlineStr">
        <is>
          <t>FinanData</t>
        </is>
      </c>
      <c r="D435" t="inlineStr">
        <is>
          <t>RRHH</t>
        </is>
      </c>
      <c r="E435" t="inlineStr">
        <is>
          <t>México</t>
        </is>
      </c>
      <c r="F435" t="inlineStr">
        <is>
          <t>Anuncios prensa</t>
        </is>
      </c>
      <c r="G435" t="inlineStr">
        <is>
          <t>Campaña</t>
        </is>
      </c>
      <c r="H435" t="inlineStr">
        <is>
          <t>Sección noticias</t>
        </is>
      </c>
      <c r="I435" t="n">
        <v>9</v>
      </c>
      <c r="J435" s="5" t="n">
        <v>622.38</v>
      </c>
      <c r="K435" s="5">
        <f>ROUND(I435*J435,2)</f>
        <v/>
      </c>
      <c r="L435" s="3" t="n">
        <v>0.03</v>
      </c>
      <c r="M435" s="5">
        <f>ROUND(K435*(1-L435),2)</f>
        <v/>
      </c>
      <c r="N435" s="5" t="n">
        <v>2216.48</v>
      </c>
      <c r="O435" s="5">
        <f>ROUND(M435-N435,2)</f>
        <v/>
      </c>
      <c r="P435" t="inlineStr">
        <is>
          <t>Pendiente</t>
        </is>
      </c>
    </row>
    <row r="436">
      <c r="A436" t="inlineStr">
        <is>
          <t>ING-0435</t>
        </is>
      </c>
      <c r="B436" s="2" t="n">
        <v>45395</v>
      </c>
      <c r="C436" t="inlineStr">
        <is>
          <t>Nova Salud</t>
        </is>
      </c>
      <c r="D436" t="inlineStr">
        <is>
          <t>RRHH</t>
        </is>
      </c>
      <c r="E436" t="inlineStr">
        <is>
          <t>Portugal</t>
        </is>
      </c>
      <c r="F436" t="inlineStr">
        <is>
          <t>Mantenimiento web</t>
        </is>
      </c>
      <c r="G436" t="inlineStr">
        <is>
          <t>Suscripción mensual</t>
        </is>
      </c>
      <c r="H436" t="inlineStr">
        <is>
          <t>Intranet comercial</t>
        </is>
      </c>
      <c r="I436" t="n">
        <v>4</v>
      </c>
      <c r="J436" s="5" t="n">
        <v>1709.69</v>
      </c>
      <c r="K436" s="5">
        <f>ROUND(I436*J436,2)</f>
        <v/>
      </c>
      <c r="L436" s="3" t="n">
        <v>0.1</v>
      </c>
      <c r="M436" s="5">
        <f>ROUND(K436*(1-L436),2)</f>
        <v/>
      </c>
      <c r="N436" s="5" t="n">
        <v>2476.44</v>
      </c>
      <c r="O436" s="5">
        <f>ROUND(M436-N436,2)</f>
        <v/>
      </c>
      <c r="P436" t="inlineStr">
        <is>
          <t>Cobrada</t>
        </is>
      </c>
    </row>
    <row r="437">
      <c r="A437" t="inlineStr">
        <is>
          <t>ING-0436</t>
        </is>
      </c>
      <c r="B437" s="2" t="n">
        <v>45428</v>
      </c>
      <c r="C437" t="inlineStr">
        <is>
          <t>Industrias Vega</t>
        </is>
      </c>
      <c r="D437" t="inlineStr">
        <is>
          <t>Industria</t>
        </is>
      </c>
      <c r="E437" t="inlineStr">
        <is>
          <t>Colombia</t>
        </is>
      </c>
      <c r="F437" t="inlineStr">
        <is>
          <t>Anuncios TV</t>
        </is>
      </c>
      <c r="G437" t="inlineStr">
        <is>
          <t>Soporte anual</t>
        </is>
      </c>
      <c r="H437" t="inlineStr">
        <is>
          <t>Centro de prensa</t>
        </is>
      </c>
      <c r="I437" t="n">
        <v>14</v>
      </c>
      <c r="J437" s="5" t="n">
        <v>215.78</v>
      </c>
      <c r="K437" s="5">
        <f>ROUND(I437*J437,2)</f>
        <v/>
      </c>
      <c r="L437" s="3" t="n">
        <v>0.05</v>
      </c>
      <c r="M437" s="5">
        <f>ROUND(K437*(1-L437),2)</f>
        <v/>
      </c>
      <c r="N437" s="5" t="n">
        <v>2028.38</v>
      </c>
      <c r="O437" s="5">
        <f>ROUND(M437-N437,2)</f>
        <v/>
      </c>
      <c r="P437" t="inlineStr">
        <is>
          <t>Cobrada</t>
        </is>
      </c>
    </row>
    <row r="438">
      <c r="A438" t="inlineStr">
        <is>
          <t>ING-0437</t>
        </is>
      </c>
      <c r="B438" s="2" t="n">
        <v>45429</v>
      </c>
      <c r="C438" t="inlineStr">
        <is>
          <t>SegurPlus</t>
        </is>
      </c>
      <c r="D438" t="inlineStr">
        <is>
          <t>Finanzas</t>
        </is>
      </c>
      <c r="E438" t="inlineStr">
        <is>
          <t>México</t>
        </is>
      </c>
      <c r="F438" t="inlineStr">
        <is>
          <t>Anuncios internet</t>
        </is>
      </c>
      <c r="G438" t="inlineStr">
        <is>
          <t>Proyecto puntual</t>
        </is>
      </c>
      <c r="H438" t="inlineStr">
        <is>
          <t>Microsite RRHH</t>
        </is>
      </c>
      <c r="I438" t="n">
        <v>20</v>
      </c>
      <c r="J438" s="5" t="n">
        <v>1823.45</v>
      </c>
      <c r="K438" s="5">
        <f>ROUND(I438*J438,2)</f>
        <v/>
      </c>
      <c r="L438" s="3" t="n">
        <v>0.03</v>
      </c>
      <c r="M438" s="5">
        <f>ROUND(K438*(1-L438),2)</f>
        <v/>
      </c>
      <c r="N438" s="5" t="n">
        <v>20416.71</v>
      </c>
      <c r="O438" s="5">
        <f>ROUND(M438-N438,2)</f>
        <v/>
      </c>
      <c r="P438" t="inlineStr">
        <is>
          <t>Pendiente</t>
        </is>
      </c>
    </row>
    <row r="439">
      <c r="A439" t="inlineStr">
        <is>
          <t>ING-0438</t>
        </is>
      </c>
      <c r="B439" s="2" t="n">
        <v>45689</v>
      </c>
      <c r="C439" t="inlineStr">
        <is>
          <t>TalentHub</t>
        </is>
      </c>
      <c r="D439" t="inlineStr">
        <is>
          <t>Administración pública</t>
        </is>
      </c>
      <c r="E439" t="inlineStr">
        <is>
          <t>España</t>
        </is>
      </c>
      <c r="F439" t="inlineStr">
        <is>
          <t>Anuncios internet</t>
        </is>
      </c>
      <c r="G439" t="inlineStr">
        <is>
          <t>Campaña</t>
        </is>
      </c>
      <c r="H439" t="inlineStr">
        <is>
          <t>Campaña empleo</t>
        </is>
      </c>
      <c r="I439" t="n">
        <v>14</v>
      </c>
      <c r="J439" s="5" t="n">
        <v>1058.65</v>
      </c>
      <c r="K439" s="5">
        <f>ROUND(I439*J439,2)</f>
        <v/>
      </c>
      <c r="L439" s="3" t="n">
        <v>0.03</v>
      </c>
      <c r="M439" s="5">
        <f>ROUND(K439*(1-L439),2)</f>
        <v/>
      </c>
      <c r="N439" s="5" t="n">
        <v>8345.719999999999</v>
      </c>
      <c r="O439" s="5">
        <f>ROUND(M439-N439,2)</f>
        <v/>
      </c>
      <c r="P439" t="inlineStr">
        <is>
          <t>Emitida</t>
        </is>
      </c>
    </row>
    <row r="440">
      <c r="A440" t="inlineStr">
        <is>
          <t>ING-0439</t>
        </is>
      </c>
      <c r="B440" s="2" t="n">
        <v>45649</v>
      </c>
      <c r="C440" t="inlineStr">
        <is>
          <t>Grupo Atlas</t>
        </is>
      </c>
      <c r="D440" t="inlineStr">
        <is>
          <t>Logística</t>
        </is>
      </c>
      <c r="E440" t="inlineStr">
        <is>
          <t>México</t>
        </is>
      </c>
      <c r="F440" t="inlineStr">
        <is>
          <t>Traducciones</t>
        </is>
      </c>
      <c r="G440" t="inlineStr">
        <is>
          <t>Soporte anual</t>
        </is>
      </c>
      <c r="H440" t="inlineStr">
        <is>
          <t>Centro de prensa</t>
        </is>
      </c>
      <c r="I440" t="n">
        <v>48</v>
      </c>
      <c r="J440" s="5" t="n">
        <v>79.98</v>
      </c>
      <c r="K440" s="5">
        <f>ROUND(I440*J440,2)</f>
        <v/>
      </c>
      <c r="L440" s="3" t="n">
        <v>0.08</v>
      </c>
      <c r="M440" s="5">
        <f>ROUND(K440*(1-L440),2)</f>
        <v/>
      </c>
      <c r="N440" s="5" t="n">
        <v>996.25</v>
      </c>
      <c r="O440" s="5">
        <f>ROUND(M440-N440,2)</f>
        <v/>
      </c>
      <c r="P440" t="inlineStr">
        <is>
          <t>Emitida</t>
        </is>
      </c>
    </row>
    <row r="441">
      <c r="A441" t="inlineStr">
        <is>
          <t>ING-0440</t>
        </is>
      </c>
      <c r="B441" s="2" t="n">
        <v>45694</v>
      </c>
      <c r="C441" t="inlineStr">
        <is>
          <t>Industrias Vega</t>
        </is>
      </c>
      <c r="D441" t="inlineStr">
        <is>
          <t>Logística</t>
        </is>
      </c>
      <c r="E441" t="inlineStr">
        <is>
          <t>Colombia</t>
        </is>
      </c>
      <c r="F441" t="inlineStr">
        <is>
          <t>Anuncios RRHH</t>
        </is>
      </c>
      <c r="G441" t="inlineStr">
        <is>
          <t>Campaña</t>
        </is>
      </c>
      <c r="H441" t="inlineStr">
        <is>
          <t>Centro de prensa</t>
        </is>
      </c>
      <c r="I441" t="n">
        <v>26</v>
      </c>
      <c r="J441" s="5" t="n">
        <v>1087.89</v>
      </c>
      <c r="K441" s="5">
        <f>ROUND(I441*J441,2)</f>
        <v/>
      </c>
      <c r="L441" s="3" t="n">
        <v>0.05</v>
      </c>
      <c r="M441" s="5">
        <f>ROUND(K441*(1-L441),2)</f>
        <v/>
      </c>
      <c r="N441" s="5" t="n">
        <v>8805.59</v>
      </c>
      <c r="O441" s="5">
        <f>ROUND(M441-N441,2)</f>
        <v/>
      </c>
      <c r="P441" t="inlineStr">
        <is>
          <t>Emitida</t>
        </is>
      </c>
    </row>
    <row r="442">
      <c r="A442" t="inlineStr">
        <is>
          <t>ING-0441</t>
        </is>
      </c>
      <c r="B442" s="2" t="n">
        <v>45361</v>
      </c>
      <c r="C442" t="inlineStr">
        <is>
          <t>BioMedic</t>
        </is>
      </c>
      <c r="D442" t="inlineStr">
        <is>
          <t>Tecnología</t>
        </is>
      </c>
      <c r="E442" t="inlineStr">
        <is>
          <t>Chile</t>
        </is>
      </c>
      <c r="F442" t="inlineStr">
        <is>
          <t>Traducciones</t>
        </is>
      </c>
      <c r="G442" t="inlineStr">
        <is>
          <t>Suscripción mensual</t>
        </is>
      </c>
      <c r="H442" t="inlineStr">
        <is>
          <t>Centro de prensa</t>
        </is>
      </c>
      <c r="I442" t="n">
        <v>6</v>
      </c>
      <c r="J442" s="5" t="n">
        <v>103.45</v>
      </c>
      <c r="K442" s="5">
        <f>ROUND(I442*J442,2)</f>
        <v/>
      </c>
      <c r="L442" s="3" t="n">
        <v>0</v>
      </c>
      <c r="M442" s="5">
        <f>ROUND(K442*(1-L442),2)</f>
        <v/>
      </c>
      <c r="N442" s="5" t="n">
        <v>416.95</v>
      </c>
      <c r="O442" s="5">
        <f>ROUND(M442-N442,2)</f>
        <v/>
      </c>
      <c r="P442" t="inlineStr">
        <is>
          <t>Cobrada</t>
        </is>
      </c>
    </row>
    <row r="443">
      <c r="A443" t="inlineStr">
        <is>
          <t>ING-0442</t>
        </is>
      </c>
      <c r="B443" s="2" t="n">
        <v>45625</v>
      </c>
      <c r="C443" t="inlineStr">
        <is>
          <t>Prensa Local 24</t>
        </is>
      </c>
      <c r="D443" t="inlineStr">
        <is>
          <t>Logística</t>
        </is>
      </c>
      <c r="E443" t="inlineStr">
        <is>
          <t>Portugal</t>
        </is>
      </c>
      <c r="F443" t="inlineStr">
        <is>
          <t>Traducciones</t>
        </is>
      </c>
      <c r="G443" t="inlineStr">
        <is>
          <t>Proyecto puntual</t>
        </is>
      </c>
      <c r="H443" t="inlineStr">
        <is>
          <t>Sección noticias</t>
        </is>
      </c>
      <c r="I443" t="n">
        <v>11</v>
      </c>
      <c r="J443" s="5" t="n">
        <v>179.68</v>
      </c>
      <c r="K443" s="5">
        <f>ROUND(I443*J443,2)</f>
        <v/>
      </c>
      <c r="L443" s="3" t="n">
        <v>0.05</v>
      </c>
      <c r="M443" s="5">
        <f>ROUND(K443*(1-L443),2)</f>
        <v/>
      </c>
      <c r="N443" s="5" t="n">
        <v>1304.6</v>
      </c>
      <c r="O443" s="5">
        <f>ROUND(M443-N443,2)</f>
        <v/>
      </c>
      <c r="P443" t="inlineStr">
        <is>
          <t>Emitida</t>
        </is>
      </c>
    </row>
    <row r="444">
      <c r="A444" t="inlineStr">
        <is>
          <t>ING-0443</t>
        </is>
      </c>
      <c r="B444" s="2" t="n">
        <v>45320</v>
      </c>
      <c r="C444" t="inlineStr">
        <is>
          <t>Campus One</t>
        </is>
      </c>
      <c r="D444" t="inlineStr">
        <is>
          <t>Logística</t>
        </is>
      </c>
      <c r="E444" t="inlineStr">
        <is>
          <t>Colombia</t>
        </is>
      </c>
      <c r="F444" t="inlineStr">
        <is>
          <t>Generación de noticias</t>
        </is>
      </c>
      <c r="G444" t="inlineStr">
        <is>
          <t>Proyecto puntual</t>
        </is>
      </c>
      <c r="H444" t="inlineStr">
        <is>
          <t>Intranet operaciones</t>
        </is>
      </c>
      <c r="I444" t="n">
        <v>118</v>
      </c>
      <c r="J444" s="5" t="n">
        <v>83.25</v>
      </c>
      <c r="K444" s="5">
        <f>ROUND(I444*J444,2)</f>
        <v/>
      </c>
      <c r="L444" s="3" t="n">
        <v>0</v>
      </c>
      <c r="M444" s="5">
        <f>ROUND(K444*(1-L444),2)</f>
        <v/>
      </c>
      <c r="N444" s="5" t="n">
        <v>5490.61</v>
      </c>
      <c r="O444" s="5">
        <f>ROUND(M444-N444,2)</f>
        <v/>
      </c>
      <c r="P444" t="inlineStr">
        <is>
          <t>Emitida</t>
        </is>
      </c>
    </row>
    <row r="445">
      <c r="A445" t="inlineStr">
        <is>
          <t>ING-0444</t>
        </is>
      </c>
      <c r="B445" s="2" t="n">
        <v>45474</v>
      </c>
      <c r="C445" t="inlineStr">
        <is>
          <t>TurisWorld</t>
        </is>
      </c>
      <c r="D445" t="inlineStr">
        <is>
          <t>Retail</t>
        </is>
      </c>
      <c r="E445" t="inlineStr">
        <is>
          <t>España</t>
        </is>
      </c>
      <c r="F445" t="inlineStr">
        <is>
          <t>Mantenimiento web</t>
        </is>
      </c>
      <c r="G445" t="inlineStr">
        <is>
          <t>Suscripción mensual</t>
        </is>
      </c>
      <c r="H445" t="inlineStr">
        <is>
          <t>Portal internacional</t>
        </is>
      </c>
      <c r="I445" t="n">
        <v>2</v>
      </c>
      <c r="J445" s="5" t="n">
        <v>2684.46</v>
      </c>
      <c r="K445" s="5">
        <f>ROUND(I445*J445,2)</f>
        <v/>
      </c>
      <c r="L445" s="3" t="n">
        <v>0.1</v>
      </c>
      <c r="M445" s="5">
        <f>ROUND(K445*(1-L445),2)</f>
        <v/>
      </c>
      <c r="N445" s="5" t="n">
        <v>2567.72</v>
      </c>
      <c r="O445" s="5">
        <f>ROUND(M445-N445,2)</f>
        <v/>
      </c>
      <c r="P445" t="inlineStr">
        <is>
          <t>Pendiente</t>
        </is>
      </c>
    </row>
    <row r="446">
      <c r="A446" t="inlineStr">
        <is>
          <t>ING-0445</t>
        </is>
      </c>
      <c r="B446" s="2" t="n">
        <v>45477</v>
      </c>
      <c r="C446" t="inlineStr">
        <is>
          <t>Ayuntamiento Norte</t>
        </is>
      </c>
      <c r="D446" t="inlineStr">
        <is>
          <t>RRHH</t>
        </is>
      </c>
      <c r="E446" t="inlineStr">
        <is>
          <t>Portugal</t>
        </is>
      </c>
      <c r="F446" t="inlineStr">
        <is>
          <t>Anuncios internet</t>
        </is>
      </c>
      <c r="G446" t="inlineStr">
        <is>
          <t>Campaña</t>
        </is>
      </c>
      <c r="H446" t="inlineStr">
        <is>
          <t>Intranet operaciones</t>
        </is>
      </c>
      <c r="I446" t="n">
        <v>19</v>
      </c>
      <c r="J446" s="5" t="n">
        <v>810</v>
      </c>
      <c r="K446" s="5">
        <f>ROUND(I446*J446,2)</f>
        <v/>
      </c>
      <c r="L446" s="3" t="n">
        <v>0.03</v>
      </c>
      <c r="M446" s="5">
        <f>ROUND(K446*(1-L446),2)</f>
        <v/>
      </c>
      <c r="N446" s="5" t="n">
        <v>4882.63</v>
      </c>
      <c r="O446" s="5">
        <f>ROUND(M446-N446,2)</f>
        <v/>
      </c>
      <c r="P446" t="inlineStr">
        <is>
          <t>Cobrada</t>
        </is>
      </c>
    </row>
    <row r="447">
      <c r="A447" t="inlineStr">
        <is>
          <t>ING-0446</t>
        </is>
      </c>
      <c r="B447" s="2" t="n">
        <v>45375</v>
      </c>
      <c r="C447" t="inlineStr">
        <is>
          <t>Grupo Atlas</t>
        </is>
      </c>
      <c r="D447" t="inlineStr">
        <is>
          <t>RRHH</t>
        </is>
      </c>
      <c r="E447" t="inlineStr">
        <is>
          <t>Chile</t>
        </is>
      </c>
      <c r="F447" t="inlineStr">
        <is>
          <t>Anuncios internet</t>
        </is>
      </c>
      <c r="G447" t="inlineStr">
        <is>
          <t>Campaña</t>
        </is>
      </c>
      <c r="H447" t="inlineStr">
        <is>
          <t>Portal internacional</t>
        </is>
      </c>
      <c r="I447" t="n">
        <v>5</v>
      </c>
      <c r="J447" s="5" t="n">
        <v>1318.47</v>
      </c>
      <c r="K447" s="5">
        <f>ROUND(I447*J447,2)</f>
        <v/>
      </c>
      <c r="L447" s="3" t="n">
        <v>0.1</v>
      </c>
      <c r="M447" s="5">
        <f>ROUND(K447*(1-L447),2)</f>
        <v/>
      </c>
      <c r="N447" s="5" t="n">
        <v>3470.28</v>
      </c>
      <c r="O447" s="5">
        <f>ROUND(M447-N447,2)</f>
        <v/>
      </c>
      <c r="P447" t="inlineStr">
        <is>
          <t>Emitida</t>
        </is>
      </c>
    </row>
    <row r="448">
      <c r="A448" t="inlineStr">
        <is>
          <t>ING-0447</t>
        </is>
      </c>
      <c r="B448" s="2" t="n">
        <v>45496</v>
      </c>
      <c r="C448" t="inlineStr">
        <is>
          <t>SegurPlus</t>
        </is>
      </c>
      <c r="D448" t="inlineStr">
        <is>
          <t>Administración pública</t>
        </is>
      </c>
      <c r="E448" t="inlineStr">
        <is>
          <t>Portugal</t>
        </is>
      </c>
      <c r="F448" t="inlineStr">
        <is>
          <t>Mantenimiento intranets</t>
        </is>
      </c>
      <c r="G448" t="inlineStr">
        <is>
          <t>Proyecto puntual</t>
        </is>
      </c>
      <c r="H448" t="inlineStr">
        <is>
          <t>Intranet operaciones</t>
        </is>
      </c>
      <c r="I448" t="n">
        <v>8</v>
      </c>
      <c r="J448" s="5" t="n">
        <v>2530.68</v>
      </c>
      <c r="K448" s="5">
        <f>ROUND(I448*J448,2)</f>
        <v/>
      </c>
      <c r="L448" s="3" t="n">
        <v>0</v>
      </c>
      <c r="M448" s="5">
        <f>ROUND(K448*(1-L448),2)</f>
        <v/>
      </c>
      <c r="N448" s="5" t="n">
        <v>10087.1</v>
      </c>
      <c r="O448" s="5">
        <f>ROUND(M448-N448,2)</f>
        <v/>
      </c>
      <c r="P448" t="inlineStr">
        <is>
          <t>Emitida</t>
        </is>
      </c>
    </row>
    <row r="449">
      <c r="A449" t="inlineStr">
        <is>
          <t>ING-0448</t>
        </is>
      </c>
      <c r="B449" s="2" t="n">
        <v>45614</v>
      </c>
      <c r="C449" t="inlineStr">
        <is>
          <t>Industrias Vega</t>
        </is>
      </c>
      <c r="D449" t="inlineStr">
        <is>
          <t>Retail</t>
        </is>
      </c>
      <c r="E449" t="inlineStr">
        <is>
          <t>Colombia</t>
        </is>
      </c>
      <c r="F449" t="inlineStr">
        <is>
          <t>Generación de noticias</t>
        </is>
      </c>
      <c r="G449" t="inlineStr">
        <is>
          <t>Soporte anual</t>
        </is>
      </c>
      <c r="H449" t="inlineStr">
        <is>
          <t>Intranet comercial</t>
        </is>
      </c>
      <c r="I449" t="n">
        <v>87</v>
      </c>
      <c r="J449" s="5" t="n">
        <v>155.84</v>
      </c>
      <c r="K449" s="5">
        <f>ROUND(I449*J449,2)</f>
        <v/>
      </c>
      <c r="L449" s="3" t="n">
        <v>0</v>
      </c>
      <c r="M449" s="5">
        <f>ROUND(K449*(1-L449),2)</f>
        <v/>
      </c>
      <c r="N449" s="5" t="n">
        <v>8782.139999999999</v>
      </c>
      <c r="O449" s="5">
        <f>ROUND(M449-N449,2)</f>
        <v/>
      </c>
      <c r="P449" t="inlineStr">
        <is>
          <t>Cobrada</t>
        </is>
      </c>
    </row>
    <row r="450">
      <c r="A450" t="inlineStr">
        <is>
          <t>ING-0449</t>
        </is>
      </c>
      <c r="B450" s="2" t="n">
        <v>45369</v>
      </c>
      <c r="C450" t="inlineStr">
        <is>
          <t>ClinicPoint</t>
        </is>
      </c>
      <c r="D450" t="inlineStr">
        <is>
          <t>Medios</t>
        </is>
      </c>
      <c r="E450" t="inlineStr">
        <is>
          <t>Portugal</t>
        </is>
      </c>
      <c r="F450" t="inlineStr">
        <is>
          <t>Anuncios RRHH</t>
        </is>
      </c>
      <c r="G450" t="inlineStr">
        <is>
          <t>Proyecto puntual</t>
        </is>
      </c>
      <c r="H450" t="inlineStr">
        <is>
          <t>Intranet comercial</t>
        </is>
      </c>
      <c r="I450" t="n">
        <v>23</v>
      </c>
      <c r="J450" s="5" t="n">
        <v>2462.6</v>
      </c>
      <c r="K450" s="5">
        <f>ROUND(I450*J450,2)</f>
        <v/>
      </c>
      <c r="L450" s="3" t="n">
        <v>0.03</v>
      </c>
      <c r="M450" s="5">
        <f>ROUND(K450*(1-L450),2)</f>
        <v/>
      </c>
      <c r="N450" s="5" t="n">
        <v>15045.64</v>
      </c>
      <c r="O450" s="5">
        <f>ROUND(M450-N450,2)</f>
        <v/>
      </c>
      <c r="P450" t="inlineStr">
        <is>
          <t>Emitida</t>
        </is>
      </c>
    </row>
    <row r="451">
      <c r="A451" t="inlineStr">
        <is>
          <t>ING-0450</t>
        </is>
      </c>
      <c r="B451" s="2" t="n">
        <v>45509</v>
      </c>
      <c r="C451" t="inlineStr">
        <is>
          <t>Grupo Atlas</t>
        </is>
      </c>
      <c r="D451" t="inlineStr">
        <is>
          <t>Logística</t>
        </is>
      </c>
      <c r="E451" t="inlineStr">
        <is>
          <t>México</t>
        </is>
      </c>
      <c r="F451" t="inlineStr">
        <is>
          <t>Anuncios RRHH</t>
        </is>
      </c>
      <c r="G451" t="inlineStr">
        <is>
          <t>Proyecto puntual</t>
        </is>
      </c>
      <c r="H451" t="inlineStr">
        <is>
          <t>Intranet comercial</t>
        </is>
      </c>
      <c r="I451" t="n">
        <v>23</v>
      </c>
      <c r="J451" s="5" t="n">
        <v>2139.7</v>
      </c>
      <c r="K451" s="5">
        <f>ROUND(I451*J451,2)</f>
        <v/>
      </c>
      <c r="L451" s="3" t="n">
        <v>0</v>
      </c>
      <c r="M451" s="5">
        <f>ROUND(K451*(1-L451),2)</f>
        <v/>
      </c>
      <c r="N451" s="5" t="n">
        <v>16427.01</v>
      </c>
      <c r="O451" s="5">
        <f>ROUND(M451-N451,2)</f>
        <v/>
      </c>
      <c r="P451" t="inlineStr">
        <is>
          <t>Cobrada</t>
        </is>
      </c>
    </row>
    <row r="452">
      <c r="A452" t="inlineStr">
        <is>
          <t>ING-0451</t>
        </is>
      </c>
      <c r="B452" s="2" t="n">
        <v>45393</v>
      </c>
      <c r="C452" t="inlineStr">
        <is>
          <t>Innova Retail</t>
        </is>
      </c>
      <c r="D452" t="inlineStr">
        <is>
          <t>Finanzas</t>
        </is>
      </c>
      <c r="E452" t="inlineStr">
        <is>
          <t>Colombia</t>
        </is>
      </c>
      <c r="F452" t="inlineStr">
        <is>
          <t>Anuncios TV</t>
        </is>
      </c>
      <c r="G452" t="inlineStr">
        <is>
          <t>Soporte anual</t>
        </is>
      </c>
      <c r="H452" t="inlineStr">
        <is>
          <t>Portal internacional</t>
        </is>
      </c>
      <c r="I452" t="n">
        <v>17</v>
      </c>
      <c r="J452" s="5" t="n">
        <v>2484.62</v>
      </c>
      <c r="K452" s="5">
        <f>ROUND(I452*J452,2)</f>
        <v/>
      </c>
      <c r="L452" s="3" t="n">
        <v>0.03</v>
      </c>
      <c r="M452" s="5">
        <f>ROUND(K452*(1-L452),2)</f>
        <v/>
      </c>
      <c r="N452" s="5" t="n">
        <v>27059.1</v>
      </c>
      <c r="O452" s="5">
        <f>ROUND(M452-N452,2)</f>
        <v/>
      </c>
      <c r="P452" t="inlineStr">
        <is>
          <t>Pendiente</t>
        </is>
      </c>
    </row>
    <row r="453">
      <c r="A453" t="inlineStr">
        <is>
          <t>ING-0452</t>
        </is>
      </c>
      <c r="B453" s="2" t="n">
        <v>45305</v>
      </c>
      <c r="C453" t="inlineStr">
        <is>
          <t>Smart Factory</t>
        </is>
      </c>
      <c r="D453" t="inlineStr">
        <is>
          <t>Medios</t>
        </is>
      </c>
      <c r="E453" t="inlineStr">
        <is>
          <t>Portugal</t>
        </is>
      </c>
      <c r="F453" t="inlineStr">
        <is>
          <t>Publicación de noticias</t>
        </is>
      </c>
      <c r="G453" t="inlineStr">
        <is>
          <t>Soporte anual</t>
        </is>
      </c>
      <c r="H453" t="inlineStr">
        <is>
          <t>Intranet operaciones</t>
        </is>
      </c>
      <c r="I453" t="n">
        <v>104</v>
      </c>
      <c r="J453" s="5" t="n">
        <v>94.70999999999999</v>
      </c>
      <c r="K453" s="5">
        <f>ROUND(I453*J453,2)</f>
        <v/>
      </c>
      <c r="L453" s="3" t="n">
        <v>0</v>
      </c>
      <c r="M453" s="5">
        <f>ROUND(K453*(1-L453),2)</f>
        <v/>
      </c>
      <c r="N453" s="5" t="n">
        <v>6301.62</v>
      </c>
      <c r="O453" s="5">
        <f>ROUND(M453-N453,2)</f>
        <v/>
      </c>
      <c r="P453" t="inlineStr">
        <is>
          <t>Cobrada</t>
        </is>
      </c>
    </row>
    <row r="454">
      <c r="A454" t="inlineStr">
        <is>
          <t>ING-0453</t>
        </is>
      </c>
      <c r="B454" s="2" t="n">
        <v>45629</v>
      </c>
      <c r="C454" t="inlineStr">
        <is>
          <t>TechSphere</t>
        </is>
      </c>
      <c r="D454" t="inlineStr">
        <is>
          <t>Finanzas</t>
        </is>
      </c>
      <c r="E454" t="inlineStr">
        <is>
          <t>Portugal</t>
        </is>
      </c>
      <c r="F454" t="inlineStr">
        <is>
          <t>Publicación de noticias</t>
        </is>
      </c>
      <c r="G454" t="inlineStr">
        <is>
          <t>Proyecto puntual</t>
        </is>
      </c>
      <c r="H454" t="inlineStr">
        <is>
          <t>Sección noticias</t>
        </is>
      </c>
      <c r="I454" t="n">
        <v>83</v>
      </c>
      <c r="J454" s="5" t="n">
        <v>89.31</v>
      </c>
      <c r="K454" s="5">
        <f>ROUND(I454*J454,2)</f>
        <v/>
      </c>
      <c r="L454" s="3" t="n">
        <v>0.1</v>
      </c>
      <c r="M454" s="5">
        <f>ROUND(K454*(1-L454),2)</f>
        <v/>
      </c>
      <c r="N454" s="5" t="n">
        <v>4700.65</v>
      </c>
      <c r="O454" s="5">
        <f>ROUND(M454-N454,2)</f>
        <v/>
      </c>
      <c r="P454" t="inlineStr">
        <is>
          <t>Pendiente</t>
        </is>
      </c>
    </row>
    <row r="455">
      <c r="A455" t="inlineStr">
        <is>
          <t>ING-0454</t>
        </is>
      </c>
      <c r="B455" s="2" t="n">
        <v>45600</v>
      </c>
      <c r="C455" t="inlineStr">
        <is>
          <t>Smart Factory</t>
        </is>
      </c>
      <c r="D455" t="inlineStr">
        <is>
          <t>Retail</t>
        </is>
      </c>
      <c r="E455" t="inlineStr">
        <is>
          <t>España</t>
        </is>
      </c>
      <c r="F455" t="inlineStr">
        <is>
          <t>Anuncios internet</t>
        </is>
      </c>
      <c r="G455" t="inlineStr">
        <is>
          <t>Retainer trimestral</t>
        </is>
      </c>
      <c r="H455" t="inlineStr">
        <is>
          <t>Portal internacional</t>
        </is>
      </c>
      <c r="I455" t="n">
        <v>24</v>
      </c>
      <c r="J455" s="5" t="n">
        <v>1597.48</v>
      </c>
      <c r="K455" s="5">
        <f>ROUND(I455*J455,2)</f>
        <v/>
      </c>
      <c r="L455" s="3" t="n">
        <v>0.05</v>
      </c>
      <c r="M455" s="5">
        <f>ROUND(K455*(1-L455),2)</f>
        <v/>
      </c>
      <c r="N455" s="5" t="n">
        <v>24317.11</v>
      </c>
      <c r="O455" s="5">
        <f>ROUND(M455-N455,2)</f>
        <v/>
      </c>
      <c r="P455" t="inlineStr">
        <is>
          <t>Pendiente</t>
        </is>
      </c>
    </row>
    <row r="456">
      <c r="A456" t="inlineStr">
        <is>
          <t>ING-0455</t>
        </is>
      </c>
      <c r="B456" s="2" t="n">
        <v>45336</v>
      </c>
      <c r="C456" t="inlineStr">
        <is>
          <t>TalentHub</t>
        </is>
      </c>
      <c r="D456" t="inlineStr">
        <is>
          <t>Tecnología</t>
        </is>
      </c>
      <c r="E456" t="inlineStr">
        <is>
          <t>España</t>
        </is>
      </c>
      <c r="F456" t="inlineStr">
        <is>
          <t>Mantenimiento intranets</t>
        </is>
      </c>
      <c r="G456" t="inlineStr">
        <is>
          <t>Campaña</t>
        </is>
      </c>
      <c r="H456" t="inlineStr">
        <is>
          <t>Microsite RRHH</t>
        </is>
      </c>
      <c r="I456" t="n">
        <v>4</v>
      </c>
      <c r="J456" s="5" t="n">
        <v>1365.13</v>
      </c>
      <c r="K456" s="5">
        <f>ROUND(I456*J456,2)</f>
        <v/>
      </c>
      <c r="L456" s="3" t="n">
        <v>0</v>
      </c>
      <c r="M456" s="5">
        <f>ROUND(K456*(1-L456),2)</f>
        <v/>
      </c>
      <c r="N456" s="5" t="n">
        <v>2358.88</v>
      </c>
      <c r="O456" s="5">
        <f>ROUND(M456-N456,2)</f>
        <v/>
      </c>
      <c r="P456" t="inlineStr">
        <is>
          <t>Emitida</t>
        </is>
      </c>
    </row>
    <row r="457">
      <c r="A457" t="inlineStr">
        <is>
          <t>ING-0456</t>
        </is>
      </c>
      <c r="B457" s="2" t="n">
        <v>45546</v>
      </c>
      <c r="C457" t="inlineStr">
        <is>
          <t>Innova Retail</t>
        </is>
      </c>
      <c r="D457" t="inlineStr">
        <is>
          <t>Legal</t>
        </is>
      </c>
      <c r="E457" t="inlineStr">
        <is>
          <t>Portugal</t>
        </is>
      </c>
      <c r="F457" t="inlineStr">
        <is>
          <t>Anuncios TV</t>
        </is>
      </c>
      <c r="G457" t="inlineStr">
        <is>
          <t>Proyecto puntual</t>
        </is>
      </c>
      <c r="H457" t="inlineStr">
        <is>
          <t>Microsite RRHH</t>
        </is>
      </c>
      <c r="I457" t="n">
        <v>3</v>
      </c>
      <c r="J457" s="5" t="n">
        <v>1351.91</v>
      </c>
      <c r="K457" s="5">
        <f>ROUND(I457*J457,2)</f>
        <v/>
      </c>
      <c r="L457" s="3" t="n">
        <v>0</v>
      </c>
      <c r="M457" s="5">
        <f>ROUND(K457*(1-L457),2)</f>
        <v/>
      </c>
      <c r="N457" s="5" t="n">
        <v>1692.49</v>
      </c>
      <c r="O457" s="5">
        <f>ROUND(M457-N457,2)</f>
        <v/>
      </c>
      <c r="P457" t="inlineStr">
        <is>
          <t>Emitida</t>
        </is>
      </c>
    </row>
    <row r="458">
      <c r="A458" t="inlineStr">
        <is>
          <t>ING-0457</t>
        </is>
      </c>
      <c r="B458" s="2" t="n">
        <v>45622</v>
      </c>
      <c r="C458" t="inlineStr">
        <is>
          <t>Prensa Local 24</t>
        </is>
      </c>
      <c r="D458" t="inlineStr">
        <is>
          <t>Finanzas</t>
        </is>
      </c>
      <c r="E458" t="inlineStr">
        <is>
          <t>Chile</t>
        </is>
      </c>
      <c r="F458" t="inlineStr">
        <is>
          <t>Mantenimiento web</t>
        </is>
      </c>
      <c r="G458" t="inlineStr">
        <is>
          <t>Soporte anual</t>
        </is>
      </c>
      <c r="H458" t="inlineStr">
        <is>
          <t>Sección noticias</t>
        </is>
      </c>
      <c r="I458" t="n">
        <v>2</v>
      </c>
      <c r="J458" s="5" t="n">
        <v>1461.5</v>
      </c>
      <c r="K458" s="5">
        <f>ROUND(I458*J458,2)</f>
        <v/>
      </c>
      <c r="L458" s="3" t="n">
        <v>0.1</v>
      </c>
      <c r="M458" s="5">
        <f>ROUND(K458*(1-L458),2)</f>
        <v/>
      </c>
      <c r="N458" s="5" t="n">
        <v>856.16</v>
      </c>
      <c r="O458" s="5">
        <f>ROUND(M458-N458,2)</f>
        <v/>
      </c>
      <c r="P458" t="inlineStr">
        <is>
          <t>Emitida</t>
        </is>
      </c>
    </row>
    <row r="459">
      <c r="A459" t="inlineStr">
        <is>
          <t>ING-0458</t>
        </is>
      </c>
      <c r="B459" s="2" t="n">
        <v>45424</v>
      </c>
      <c r="C459" t="inlineStr">
        <is>
          <t>EcoLogística</t>
        </is>
      </c>
      <c r="D459" t="inlineStr">
        <is>
          <t>Industria</t>
        </is>
      </c>
      <c r="E459" t="inlineStr">
        <is>
          <t>Portugal</t>
        </is>
      </c>
      <c r="F459" t="inlineStr">
        <is>
          <t>Anuncios internet</t>
        </is>
      </c>
      <c r="G459" t="inlineStr">
        <is>
          <t>Retainer trimestral</t>
        </is>
      </c>
      <c r="H459" t="inlineStr">
        <is>
          <t>Intranet operaciones</t>
        </is>
      </c>
      <c r="I459" t="n">
        <v>24</v>
      </c>
      <c r="J459" s="5" t="n">
        <v>1940.81</v>
      </c>
      <c r="K459" s="5">
        <f>ROUND(I459*J459,2)</f>
        <v/>
      </c>
      <c r="L459" s="3" t="n">
        <v>0.03</v>
      </c>
      <c r="M459" s="5">
        <f>ROUND(K459*(1-L459),2)</f>
        <v/>
      </c>
      <c r="N459" s="5" t="n">
        <v>22343.03</v>
      </c>
      <c r="O459" s="5">
        <f>ROUND(M459-N459,2)</f>
        <v/>
      </c>
      <c r="P459" t="inlineStr">
        <is>
          <t>Emitida</t>
        </is>
      </c>
    </row>
    <row r="460">
      <c r="A460" t="inlineStr">
        <is>
          <t>ING-0459</t>
        </is>
      </c>
      <c r="B460" s="2" t="n">
        <v>45364</v>
      </c>
      <c r="C460" t="inlineStr">
        <is>
          <t>TurisWorld</t>
        </is>
      </c>
      <c r="D460" t="inlineStr">
        <is>
          <t>RRHH</t>
        </is>
      </c>
      <c r="E460" t="inlineStr">
        <is>
          <t>Chile</t>
        </is>
      </c>
      <c r="F460" t="inlineStr">
        <is>
          <t>Publicación de noticias</t>
        </is>
      </c>
      <c r="G460" t="inlineStr">
        <is>
          <t>Suscripción mensual</t>
        </is>
      </c>
      <c r="H460" t="inlineStr">
        <is>
          <t>Intranet comercial</t>
        </is>
      </c>
      <c r="I460" t="n">
        <v>32</v>
      </c>
      <c r="J460" s="5" t="n">
        <v>177.5</v>
      </c>
      <c r="K460" s="5">
        <f>ROUND(I460*J460,2)</f>
        <v/>
      </c>
      <c r="L460" s="3" t="n">
        <v>0.08</v>
      </c>
      <c r="M460" s="5">
        <f>ROUND(K460*(1-L460),2)</f>
        <v/>
      </c>
      <c r="N460" s="5" t="n">
        <v>3819.62</v>
      </c>
      <c r="O460" s="5">
        <f>ROUND(M460-N460,2)</f>
        <v/>
      </c>
      <c r="P460" t="inlineStr">
        <is>
          <t>Cobrada</t>
        </is>
      </c>
    </row>
    <row r="461">
      <c r="A461" t="inlineStr">
        <is>
          <t>ING-0460</t>
        </is>
      </c>
      <c r="B461" s="2" t="n">
        <v>45671</v>
      </c>
      <c r="C461" t="inlineStr">
        <is>
          <t>Retail Vision</t>
        </is>
      </c>
      <c r="D461" t="inlineStr">
        <is>
          <t>Retail</t>
        </is>
      </c>
      <c r="E461" t="inlineStr">
        <is>
          <t>Portugal</t>
        </is>
      </c>
      <c r="F461" t="inlineStr">
        <is>
          <t>Generación de noticias</t>
        </is>
      </c>
      <c r="G461" t="inlineStr">
        <is>
          <t>Proyecto puntual</t>
        </is>
      </c>
      <c r="H461" t="inlineStr">
        <is>
          <t>Portal internacional</t>
        </is>
      </c>
      <c r="I461" t="n">
        <v>49</v>
      </c>
      <c r="J461" s="5" t="n">
        <v>118.43</v>
      </c>
      <c r="K461" s="5">
        <f>ROUND(I461*J461,2)</f>
        <v/>
      </c>
      <c r="L461" s="3" t="n">
        <v>0.05</v>
      </c>
      <c r="M461" s="5">
        <f>ROUND(K461*(1-L461),2)</f>
        <v/>
      </c>
      <c r="N461" s="5" t="n">
        <v>3123.51</v>
      </c>
      <c r="O461" s="5">
        <f>ROUND(M461-N461,2)</f>
        <v/>
      </c>
      <c r="P461" t="inlineStr">
        <is>
          <t>Emitida</t>
        </is>
      </c>
    </row>
    <row r="462">
      <c r="A462" t="inlineStr">
        <is>
          <t>ING-0461</t>
        </is>
      </c>
      <c r="B462" s="2" t="n">
        <v>45464</v>
      </c>
      <c r="C462" t="inlineStr">
        <is>
          <t>TechSphere</t>
        </is>
      </c>
      <c r="D462" t="inlineStr">
        <is>
          <t>Tecnología</t>
        </is>
      </c>
      <c r="E462" t="inlineStr">
        <is>
          <t>España</t>
        </is>
      </c>
      <c r="F462" t="inlineStr">
        <is>
          <t>Anuncios prensa</t>
        </is>
      </c>
      <c r="G462" t="inlineStr">
        <is>
          <t>Campaña</t>
        </is>
      </c>
      <c r="H462" t="inlineStr">
        <is>
          <t>Campaña empleo</t>
        </is>
      </c>
      <c r="I462" t="n">
        <v>28</v>
      </c>
      <c r="J462" s="5" t="n">
        <v>2237.81</v>
      </c>
      <c r="K462" s="5">
        <f>ROUND(I462*J462,2)</f>
        <v/>
      </c>
      <c r="L462" s="3" t="n">
        <v>0.1</v>
      </c>
      <c r="M462" s="5">
        <f>ROUND(K462*(1-L462),2)</f>
        <v/>
      </c>
      <c r="N462" s="5" t="n">
        <v>42416.59</v>
      </c>
      <c r="O462" s="5">
        <f>ROUND(M462-N462,2)</f>
        <v/>
      </c>
      <c r="P462" t="inlineStr">
        <is>
          <t>Pendiente</t>
        </is>
      </c>
    </row>
    <row r="463">
      <c r="A463" t="inlineStr">
        <is>
          <t>ING-0462</t>
        </is>
      </c>
      <c r="B463" s="2" t="n">
        <v>45320</v>
      </c>
      <c r="C463" t="inlineStr">
        <is>
          <t>Ayuntamiento Norte</t>
        </is>
      </c>
      <c r="D463" t="inlineStr">
        <is>
          <t>Administración pública</t>
        </is>
      </c>
      <c r="E463" t="inlineStr">
        <is>
          <t>Colombia</t>
        </is>
      </c>
      <c r="F463" t="inlineStr">
        <is>
          <t>Anuncios internet</t>
        </is>
      </c>
      <c r="G463" t="inlineStr">
        <is>
          <t>Retainer trimestral</t>
        </is>
      </c>
      <c r="H463" t="inlineStr">
        <is>
          <t>Intranet comercial</t>
        </is>
      </c>
      <c r="I463" t="n">
        <v>4</v>
      </c>
      <c r="J463" s="5" t="n">
        <v>2159.45</v>
      </c>
      <c r="K463" s="5">
        <f>ROUND(I463*J463,2)</f>
        <v/>
      </c>
      <c r="L463" s="3" t="n">
        <v>0</v>
      </c>
      <c r="M463" s="5">
        <f>ROUND(K463*(1-L463),2)</f>
        <v/>
      </c>
      <c r="N463" s="5" t="n">
        <v>2585.62</v>
      </c>
      <c r="O463" s="5">
        <f>ROUND(M463-N463,2)</f>
        <v/>
      </c>
      <c r="P463" t="inlineStr">
        <is>
          <t>Emitida</t>
        </is>
      </c>
    </row>
    <row r="464">
      <c r="A464" t="inlineStr">
        <is>
          <t>ING-0463</t>
        </is>
      </c>
      <c r="B464" s="2" t="n">
        <v>45687</v>
      </c>
      <c r="C464" t="inlineStr">
        <is>
          <t>Innova Retail</t>
        </is>
      </c>
      <c r="D464" t="inlineStr">
        <is>
          <t>Medios</t>
        </is>
      </c>
      <c r="E464" t="inlineStr">
        <is>
          <t>Chile</t>
        </is>
      </c>
      <c r="F464" t="inlineStr">
        <is>
          <t>Anuncios internet</t>
        </is>
      </c>
      <c r="G464" t="inlineStr">
        <is>
          <t>Retainer trimestral</t>
        </is>
      </c>
      <c r="H464" t="inlineStr">
        <is>
          <t>Sección noticias</t>
        </is>
      </c>
      <c r="I464" t="n">
        <v>9</v>
      </c>
      <c r="J464" s="5" t="n">
        <v>2163.41</v>
      </c>
      <c r="K464" s="5">
        <f>ROUND(I464*J464,2)</f>
        <v/>
      </c>
      <c r="L464" s="3" t="n">
        <v>0</v>
      </c>
      <c r="M464" s="5">
        <f>ROUND(K464*(1-L464),2)</f>
        <v/>
      </c>
      <c r="N464" s="5" t="n">
        <v>12819.61</v>
      </c>
      <c r="O464" s="5">
        <f>ROUND(M464-N464,2)</f>
        <v/>
      </c>
      <c r="P464" t="inlineStr">
        <is>
          <t>Pendiente</t>
        </is>
      </c>
    </row>
    <row r="465">
      <c r="A465" t="inlineStr">
        <is>
          <t>ING-0464</t>
        </is>
      </c>
      <c r="B465" s="2" t="n">
        <v>45321</v>
      </c>
      <c r="C465" t="inlineStr">
        <is>
          <t>TalentHub</t>
        </is>
      </c>
      <c r="D465" t="inlineStr">
        <is>
          <t>Turismo</t>
        </is>
      </c>
      <c r="E465" t="inlineStr">
        <is>
          <t>Colombia</t>
        </is>
      </c>
      <c r="F465" t="inlineStr">
        <is>
          <t>Traducciones</t>
        </is>
      </c>
      <c r="G465" t="inlineStr">
        <is>
          <t>Proyecto puntual</t>
        </is>
      </c>
      <c r="H465" t="inlineStr">
        <is>
          <t>Intranet operaciones</t>
        </is>
      </c>
      <c r="I465" t="n">
        <v>104</v>
      </c>
      <c r="J465" s="5" t="n">
        <v>93.95</v>
      </c>
      <c r="K465" s="5">
        <f>ROUND(I465*J465,2)</f>
        <v/>
      </c>
      <c r="L465" s="3" t="n">
        <v>0.1</v>
      </c>
      <c r="M465" s="5">
        <f>ROUND(K465*(1-L465),2)</f>
        <v/>
      </c>
      <c r="N465" s="5" t="n">
        <v>4128.77</v>
      </c>
      <c r="O465" s="5">
        <f>ROUND(M465-N465,2)</f>
        <v/>
      </c>
      <c r="P465" t="inlineStr">
        <is>
          <t>Cobrada</t>
        </is>
      </c>
    </row>
    <row r="466">
      <c r="A466" t="inlineStr">
        <is>
          <t>ING-0465</t>
        </is>
      </c>
      <c r="B466" s="2" t="n">
        <v>45315</v>
      </c>
      <c r="C466" t="inlineStr">
        <is>
          <t>Industrias Vega</t>
        </is>
      </c>
      <c r="D466" t="inlineStr">
        <is>
          <t>Tecnología</t>
        </is>
      </c>
      <c r="E466" t="inlineStr">
        <is>
          <t>México</t>
        </is>
      </c>
      <c r="F466" t="inlineStr">
        <is>
          <t>Anuncios prensa</t>
        </is>
      </c>
      <c r="G466" t="inlineStr">
        <is>
          <t>Soporte anual</t>
        </is>
      </c>
      <c r="H466" t="inlineStr">
        <is>
          <t>Intranet comercial</t>
        </is>
      </c>
      <c r="I466" t="n">
        <v>12</v>
      </c>
      <c r="J466" s="5" t="n">
        <v>1866.67</v>
      </c>
      <c r="K466" s="5">
        <f>ROUND(I466*J466,2)</f>
        <v/>
      </c>
      <c r="L466" s="3" t="n">
        <v>0</v>
      </c>
      <c r="M466" s="5">
        <f>ROUND(K466*(1-L466),2)</f>
        <v/>
      </c>
      <c r="N466" s="5" t="n">
        <v>13216.56</v>
      </c>
      <c r="O466" s="5">
        <f>ROUND(M466-N466,2)</f>
        <v/>
      </c>
      <c r="P466" t="inlineStr">
        <is>
          <t>Pendiente</t>
        </is>
      </c>
    </row>
    <row r="467">
      <c r="A467" t="inlineStr">
        <is>
          <t>ING-0466</t>
        </is>
      </c>
      <c r="B467" s="2" t="n">
        <v>45328</v>
      </c>
      <c r="C467" t="inlineStr">
        <is>
          <t>EducaPro</t>
        </is>
      </c>
      <c r="D467" t="inlineStr">
        <is>
          <t>Logística</t>
        </is>
      </c>
      <c r="E467" t="inlineStr">
        <is>
          <t>México</t>
        </is>
      </c>
      <c r="F467" t="inlineStr">
        <is>
          <t>Traducciones</t>
        </is>
      </c>
      <c r="G467" t="inlineStr">
        <is>
          <t>Retainer trimestral</t>
        </is>
      </c>
      <c r="H467" t="inlineStr">
        <is>
          <t>Microsite RRHH</t>
        </is>
      </c>
      <c r="I467" t="n">
        <v>16</v>
      </c>
      <c r="J467" s="5" t="n">
        <v>99.94</v>
      </c>
      <c r="K467" s="5">
        <f>ROUND(I467*J467,2)</f>
        <v/>
      </c>
      <c r="L467" s="3" t="n">
        <v>0.03</v>
      </c>
      <c r="M467" s="5">
        <f>ROUND(K467*(1-L467),2)</f>
        <v/>
      </c>
      <c r="N467" s="5" t="n">
        <v>895.05</v>
      </c>
      <c r="O467" s="5">
        <f>ROUND(M467-N467,2)</f>
        <v/>
      </c>
      <c r="P467" t="inlineStr">
        <is>
          <t>Emitida</t>
        </is>
      </c>
    </row>
    <row r="468">
      <c r="A468" t="inlineStr">
        <is>
          <t>ING-0467</t>
        </is>
      </c>
      <c r="B468" s="2" t="n">
        <v>45594</v>
      </c>
      <c r="C468" t="inlineStr">
        <is>
          <t>SegurPlus</t>
        </is>
      </c>
      <c r="D468" t="inlineStr">
        <is>
          <t>Industria</t>
        </is>
      </c>
      <c r="E468" t="inlineStr">
        <is>
          <t>Chile</t>
        </is>
      </c>
      <c r="F468" t="inlineStr">
        <is>
          <t>Traducciones</t>
        </is>
      </c>
      <c r="G468" t="inlineStr">
        <is>
          <t>Campaña</t>
        </is>
      </c>
      <c r="H468" t="inlineStr">
        <is>
          <t>Portal internacional</t>
        </is>
      </c>
      <c r="I468" t="n">
        <v>97</v>
      </c>
      <c r="J468" s="5" t="n">
        <v>92.64</v>
      </c>
      <c r="K468" s="5">
        <f>ROUND(I468*J468,2)</f>
        <v/>
      </c>
      <c r="L468" s="3" t="n">
        <v>0</v>
      </c>
      <c r="M468" s="5">
        <f>ROUND(K468*(1-L468),2)</f>
        <v/>
      </c>
      <c r="N468" s="5" t="n">
        <v>6051.44</v>
      </c>
      <c r="O468" s="5">
        <f>ROUND(M468-N468,2)</f>
        <v/>
      </c>
      <c r="P468" t="inlineStr">
        <is>
          <t>Emitida</t>
        </is>
      </c>
    </row>
    <row r="469">
      <c r="A469" t="inlineStr">
        <is>
          <t>ING-0468</t>
        </is>
      </c>
      <c r="B469" s="2" t="n">
        <v>45514</v>
      </c>
      <c r="C469" t="inlineStr">
        <is>
          <t>TurisWorld</t>
        </is>
      </c>
      <c r="D469" t="inlineStr">
        <is>
          <t>Medios</t>
        </is>
      </c>
      <c r="E469" t="inlineStr">
        <is>
          <t>España</t>
        </is>
      </c>
      <c r="F469" t="inlineStr">
        <is>
          <t>Anuncios internet</t>
        </is>
      </c>
      <c r="G469" t="inlineStr">
        <is>
          <t>Suscripción mensual</t>
        </is>
      </c>
      <c r="H469" t="inlineStr">
        <is>
          <t>Intranet operaciones</t>
        </is>
      </c>
      <c r="I469" t="n">
        <v>27</v>
      </c>
      <c r="J469" s="5" t="n">
        <v>472.16</v>
      </c>
      <c r="K469" s="5">
        <f>ROUND(I469*J469,2)</f>
        <v/>
      </c>
      <c r="L469" s="3" t="n">
        <v>0</v>
      </c>
      <c r="M469" s="5">
        <f>ROUND(K469*(1-L469),2)</f>
        <v/>
      </c>
      <c r="N469" s="5" t="n">
        <v>4577.34</v>
      </c>
      <c r="O469" s="5">
        <f>ROUND(M469-N469,2)</f>
        <v/>
      </c>
      <c r="P469" t="inlineStr">
        <is>
          <t>Emitida</t>
        </is>
      </c>
    </row>
    <row r="470">
      <c r="A470" t="inlineStr">
        <is>
          <t>ING-0469</t>
        </is>
      </c>
      <c r="B470" s="2" t="n">
        <v>45416</v>
      </c>
      <c r="C470" t="inlineStr">
        <is>
          <t>Legal360</t>
        </is>
      </c>
      <c r="D470" t="inlineStr">
        <is>
          <t>Logística</t>
        </is>
      </c>
      <c r="E470" t="inlineStr">
        <is>
          <t>Colombia</t>
        </is>
      </c>
      <c r="F470" t="inlineStr">
        <is>
          <t>Traducciones</t>
        </is>
      </c>
      <c r="G470" t="inlineStr">
        <is>
          <t>Campaña</t>
        </is>
      </c>
      <c r="H470" t="inlineStr">
        <is>
          <t>Intranet operaciones</t>
        </is>
      </c>
      <c r="I470" t="n">
        <v>44</v>
      </c>
      <c r="J470" s="5" t="n">
        <v>50.26</v>
      </c>
      <c r="K470" s="5">
        <f>ROUND(I470*J470,2)</f>
        <v/>
      </c>
      <c r="L470" s="3" t="n">
        <v>0.05</v>
      </c>
      <c r="M470" s="5">
        <f>ROUND(K470*(1-L470),2)</f>
        <v/>
      </c>
      <c r="N470" s="5" t="n">
        <v>744.75</v>
      </c>
      <c r="O470" s="5">
        <f>ROUND(M470-N470,2)</f>
        <v/>
      </c>
      <c r="P470" t="inlineStr">
        <is>
          <t>Emitida</t>
        </is>
      </c>
    </row>
    <row r="471">
      <c r="A471" t="inlineStr">
        <is>
          <t>ING-0470</t>
        </is>
      </c>
      <c r="B471" s="2" t="n">
        <v>45539</v>
      </c>
      <c r="C471" t="inlineStr">
        <is>
          <t>BioMedic</t>
        </is>
      </c>
      <c r="D471" t="inlineStr">
        <is>
          <t>Educación</t>
        </is>
      </c>
      <c r="E471" t="inlineStr">
        <is>
          <t>Chile</t>
        </is>
      </c>
      <c r="F471" t="inlineStr">
        <is>
          <t>Anuncios TV</t>
        </is>
      </c>
      <c r="G471" t="inlineStr">
        <is>
          <t>Proyecto puntual</t>
        </is>
      </c>
      <c r="H471" t="inlineStr">
        <is>
          <t>Sección noticias</t>
        </is>
      </c>
      <c r="I471" t="n">
        <v>8</v>
      </c>
      <c r="J471" s="5" t="n">
        <v>324.35</v>
      </c>
      <c r="K471" s="5">
        <f>ROUND(I471*J471,2)</f>
        <v/>
      </c>
      <c r="L471" s="3" t="n">
        <v>0.05</v>
      </c>
      <c r="M471" s="5">
        <f>ROUND(K471*(1-L471),2)</f>
        <v/>
      </c>
      <c r="N471" s="5" t="n">
        <v>1124.44</v>
      </c>
      <c r="O471" s="5">
        <f>ROUND(M471-N471,2)</f>
        <v/>
      </c>
      <c r="P471" t="inlineStr">
        <is>
          <t>Pendiente</t>
        </is>
      </c>
    </row>
    <row r="472">
      <c r="A472" t="inlineStr">
        <is>
          <t>ING-0471</t>
        </is>
      </c>
      <c r="B472" s="2" t="n">
        <v>45563</v>
      </c>
      <c r="C472" t="inlineStr">
        <is>
          <t>Prensa Local 24</t>
        </is>
      </c>
      <c r="D472" t="inlineStr">
        <is>
          <t>Logística</t>
        </is>
      </c>
      <c r="E472" t="inlineStr">
        <is>
          <t>Colombia</t>
        </is>
      </c>
      <c r="F472" t="inlineStr">
        <is>
          <t>Anuncios prensa</t>
        </is>
      </c>
      <c r="G472" t="inlineStr">
        <is>
          <t>Soporte anual</t>
        </is>
      </c>
      <c r="H472" t="inlineStr">
        <is>
          <t>Microsite RRHH</t>
        </is>
      </c>
      <c r="I472" t="n">
        <v>16</v>
      </c>
      <c r="J472" s="5" t="n">
        <v>2403.99</v>
      </c>
      <c r="K472" s="5">
        <f>ROUND(I472*J472,2)</f>
        <v/>
      </c>
      <c r="L472" s="3" t="n">
        <v>0.03</v>
      </c>
      <c r="M472" s="5">
        <f>ROUND(K472*(1-L472),2)</f>
        <v/>
      </c>
      <c r="N472" s="5" t="n">
        <v>21118.35</v>
      </c>
      <c r="O472" s="5">
        <f>ROUND(M472-N472,2)</f>
        <v/>
      </c>
      <c r="P472" t="inlineStr">
        <is>
          <t>Emitida</t>
        </is>
      </c>
    </row>
    <row r="473">
      <c r="A473" t="inlineStr">
        <is>
          <t>ING-0472</t>
        </is>
      </c>
      <c r="B473" s="2" t="n">
        <v>45614</v>
      </c>
      <c r="C473" t="inlineStr">
        <is>
          <t>EcoLogística</t>
        </is>
      </c>
      <c r="D473" t="inlineStr">
        <is>
          <t>Tecnología</t>
        </is>
      </c>
      <c r="E473" t="inlineStr">
        <is>
          <t>México</t>
        </is>
      </c>
      <c r="F473" t="inlineStr">
        <is>
          <t>Mantenimiento intranets</t>
        </is>
      </c>
      <c r="G473" t="inlineStr">
        <is>
          <t>Proyecto puntual</t>
        </is>
      </c>
      <c r="H473" t="inlineStr">
        <is>
          <t>Portal corporativo</t>
        </is>
      </c>
      <c r="I473" t="n">
        <v>5</v>
      </c>
      <c r="J473" s="5" t="n">
        <v>1630.86</v>
      </c>
      <c r="K473" s="5">
        <f>ROUND(I473*J473,2)</f>
        <v/>
      </c>
      <c r="L473" s="3" t="n">
        <v>0.08</v>
      </c>
      <c r="M473" s="5">
        <f>ROUND(K473*(1-L473),2)</f>
        <v/>
      </c>
      <c r="N473" s="5" t="n">
        <v>4151.55</v>
      </c>
      <c r="O473" s="5">
        <f>ROUND(M473-N473,2)</f>
        <v/>
      </c>
      <c r="P473" t="inlineStr">
        <is>
          <t>Pendiente</t>
        </is>
      </c>
    </row>
    <row r="474">
      <c r="A474" t="inlineStr">
        <is>
          <t>ING-0473</t>
        </is>
      </c>
      <c r="B474" s="2" t="n">
        <v>45353</v>
      </c>
      <c r="C474" t="inlineStr">
        <is>
          <t>Retail Vision</t>
        </is>
      </c>
      <c r="D474" t="inlineStr">
        <is>
          <t>Educación</t>
        </is>
      </c>
      <c r="E474" t="inlineStr">
        <is>
          <t>México</t>
        </is>
      </c>
      <c r="F474" t="inlineStr">
        <is>
          <t>Anuncios RRHH</t>
        </is>
      </c>
      <c r="G474" t="inlineStr">
        <is>
          <t>Suscripción mensual</t>
        </is>
      </c>
      <c r="H474" t="inlineStr">
        <is>
          <t>Portal internacional</t>
        </is>
      </c>
      <c r="I474" t="n">
        <v>9</v>
      </c>
      <c r="J474" s="5" t="n">
        <v>443.02</v>
      </c>
      <c r="K474" s="5">
        <f>ROUND(I474*J474,2)</f>
        <v/>
      </c>
      <c r="L474" s="3" t="n">
        <v>0.05</v>
      </c>
      <c r="M474" s="5">
        <f>ROUND(K474*(1-L474),2)</f>
        <v/>
      </c>
      <c r="N474" s="5" t="n">
        <v>1075.11</v>
      </c>
      <c r="O474" s="5">
        <f>ROUND(M474-N474,2)</f>
        <v/>
      </c>
      <c r="P474" t="inlineStr">
        <is>
          <t>Cobrada</t>
        </is>
      </c>
    </row>
    <row r="475">
      <c r="A475" t="inlineStr">
        <is>
          <t>ING-0474</t>
        </is>
      </c>
      <c r="B475" s="2" t="n">
        <v>45437</v>
      </c>
      <c r="C475" t="inlineStr">
        <is>
          <t>ClinicPoint</t>
        </is>
      </c>
      <c r="D475" t="inlineStr">
        <is>
          <t>Salud</t>
        </is>
      </c>
      <c r="E475" t="inlineStr">
        <is>
          <t>España</t>
        </is>
      </c>
      <c r="F475" t="inlineStr">
        <is>
          <t>Generación de noticias</t>
        </is>
      </c>
      <c r="G475" t="inlineStr">
        <is>
          <t>Suscripción mensual</t>
        </is>
      </c>
      <c r="H475" t="inlineStr">
        <is>
          <t>Sección noticias</t>
        </is>
      </c>
      <c r="I475" t="n">
        <v>77</v>
      </c>
      <c r="J475" s="5" t="n">
        <v>129.61</v>
      </c>
      <c r="K475" s="5">
        <f>ROUND(I475*J475,2)</f>
        <v/>
      </c>
      <c r="L475" s="3" t="n">
        <v>0.05</v>
      </c>
      <c r="M475" s="5">
        <f>ROUND(K475*(1-L475),2)</f>
        <v/>
      </c>
      <c r="N475" s="5" t="n">
        <v>5926.21</v>
      </c>
      <c r="O475" s="5">
        <f>ROUND(M475-N475,2)</f>
        <v/>
      </c>
      <c r="P475" t="inlineStr">
        <is>
          <t>Pendiente</t>
        </is>
      </c>
    </row>
    <row r="476">
      <c r="A476" t="inlineStr">
        <is>
          <t>ING-0475</t>
        </is>
      </c>
      <c r="B476" s="2" t="n">
        <v>45514</v>
      </c>
      <c r="C476" t="inlineStr">
        <is>
          <t>ClinicPoint</t>
        </is>
      </c>
      <c r="D476" t="inlineStr">
        <is>
          <t>Administración pública</t>
        </is>
      </c>
      <c r="E476" t="inlineStr">
        <is>
          <t>México</t>
        </is>
      </c>
      <c r="F476" t="inlineStr">
        <is>
          <t>Anuncios internet</t>
        </is>
      </c>
      <c r="G476" t="inlineStr">
        <is>
          <t>Soporte anual</t>
        </is>
      </c>
      <c r="H476" t="inlineStr">
        <is>
          <t>Intranet operaciones</t>
        </is>
      </c>
      <c r="I476" t="n">
        <v>11</v>
      </c>
      <c r="J476" s="5" t="n">
        <v>876.59</v>
      </c>
      <c r="K476" s="5">
        <f>ROUND(I476*J476,2)</f>
        <v/>
      </c>
      <c r="L476" s="3" t="n">
        <v>0.08</v>
      </c>
      <c r="M476" s="5">
        <f>ROUND(K476*(1-L476),2)</f>
        <v/>
      </c>
      <c r="N476" s="5" t="n">
        <v>5169.47</v>
      </c>
      <c r="O476" s="5">
        <f>ROUND(M476-N476,2)</f>
        <v/>
      </c>
      <c r="P476" t="inlineStr">
        <is>
          <t>Cobrada</t>
        </is>
      </c>
    </row>
    <row r="477">
      <c r="A477" t="inlineStr">
        <is>
          <t>ING-0476</t>
        </is>
      </c>
      <c r="B477" s="2" t="n">
        <v>45469</v>
      </c>
      <c r="C477" t="inlineStr">
        <is>
          <t>Legal360</t>
        </is>
      </c>
      <c r="D477" t="inlineStr">
        <is>
          <t>RRHH</t>
        </is>
      </c>
      <c r="E477" t="inlineStr">
        <is>
          <t>España</t>
        </is>
      </c>
      <c r="F477" t="inlineStr">
        <is>
          <t>Generación de noticias</t>
        </is>
      </c>
      <c r="G477" t="inlineStr">
        <is>
          <t>Retainer trimestral</t>
        </is>
      </c>
      <c r="H477" t="inlineStr">
        <is>
          <t>Portal internacional</t>
        </is>
      </c>
      <c r="I477" t="n">
        <v>58</v>
      </c>
      <c r="J477" s="5" t="n">
        <v>154.27</v>
      </c>
      <c r="K477" s="5">
        <f>ROUND(I477*J477,2)</f>
        <v/>
      </c>
      <c r="L477" s="3" t="n">
        <v>0</v>
      </c>
      <c r="M477" s="5">
        <f>ROUND(K477*(1-L477),2)</f>
        <v/>
      </c>
      <c r="N477" s="5" t="n">
        <v>3720.73</v>
      </c>
      <c r="O477" s="5">
        <f>ROUND(M477-N477,2)</f>
        <v/>
      </c>
      <c r="P477" t="inlineStr">
        <is>
          <t>Emitida</t>
        </is>
      </c>
    </row>
    <row r="478">
      <c r="A478" t="inlineStr">
        <is>
          <t>ING-0477</t>
        </is>
      </c>
      <c r="B478" s="2" t="n">
        <v>45393</v>
      </c>
      <c r="C478" t="inlineStr">
        <is>
          <t>Nova Salud</t>
        </is>
      </c>
      <c r="D478" t="inlineStr">
        <is>
          <t>Logística</t>
        </is>
      </c>
      <c r="E478" t="inlineStr">
        <is>
          <t>Colombia</t>
        </is>
      </c>
      <c r="F478" t="inlineStr">
        <is>
          <t>Anuncios prensa</t>
        </is>
      </c>
      <c r="G478" t="inlineStr">
        <is>
          <t>Retainer trimestral</t>
        </is>
      </c>
      <c r="H478" t="inlineStr">
        <is>
          <t>Microsite RRHH</t>
        </is>
      </c>
      <c r="I478" t="n">
        <v>13</v>
      </c>
      <c r="J478" s="5" t="n">
        <v>889.63</v>
      </c>
      <c r="K478" s="5">
        <f>ROUND(I478*J478,2)</f>
        <v/>
      </c>
      <c r="L478" s="3" t="n">
        <v>0.08</v>
      </c>
      <c r="M478" s="5">
        <f>ROUND(K478*(1-L478),2)</f>
        <v/>
      </c>
      <c r="N478" s="5" t="n">
        <v>3988.29</v>
      </c>
      <c r="O478" s="5">
        <f>ROUND(M478-N478,2)</f>
        <v/>
      </c>
      <c r="P478" t="inlineStr">
        <is>
          <t>Emitida</t>
        </is>
      </c>
    </row>
    <row r="479">
      <c r="A479" t="inlineStr">
        <is>
          <t>ING-0478</t>
        </is>
      </c>
      <c r="B479" s="2" t="n">
        <v>45624</v>
      </c>
      <c r="C479" t="inlineStr">
        <is>
          <t>Industrias Vega</t>
        </is>
      </c>
      <c r="D479" t="inlineStr">
        <is>
          <t>Retail</t>
        </is>
      </c>
      <c r="E479" t="inlineStr">
        <is>
          <t>Chile</t>
        </is>
      </c>
      <c r="F479" t="inlineStr">
        <is>
          <t>Anuncios internet</t>
        </is>
      </c>
      <c r="G479" t="inlineStr">
        <is>
          <t>Campaña</t>
        </is>
      </c>
      <c r="H479" t="inlineStr">
        <is>
          <t>Campaña empleo</t>
        </is>
      </c>
      <c r="I479" t="n">
        <v>4</v>
      </c>
      <c r="J479" s="5" t="n">
        <v>408.29</v>
      </c>
      <c r="K479" s="5">
        <f>ROUND(I479*J479,2)</f>
        <v/>
      </c>
      <c r="L479" s="3" t="n">
        <v>0.03</v>
      </c>
      <c r="M479" s="5">
        <f>ROUND(K479*(1-L479),2)</f>
        <v/>
      </c>
      <c r="N479" s="5" t="n">
        <v>854.21</v>
      </c>
      <c r="O479" s="5">
        <f>ROUND(M479-N479,2)</f>
        <v/>
      </c>
      <c r="P479" t="inlineStr">
        <is>
          <t>Emitida</t>
        </is>
      </c>
    </row>
    <row r="480">
      <c r="A480" t="inlineStr">
        <is>
          <t>ING-0479</t>
        </is>
      </c>
      <c r="B480" s="2" t="n">
        <v>45471</v>
      </c>
      <c r="C480" t="inlineStr">
        <is>
          <t>Innova Retail</t>
        </is>
      </c>
      <c r="D480" t="inlineStr">
        <is>
          <t>Retail</t>
        </is>
      </c>
      <c r="E480" t="inlineStr">
        <is>
          <t>Chile</t>
        </is>
      </c>
      <c r="F480" t="inlineStr">
        <is>
          <t>Mantenimiento web</t>
        </is>
      </c>
      <c r="G480" t="inlineStr">
        <is>
          <t>Proyecto puntual</t>
        </is>
      </c>
      <c r="H480" t="inlineStr">
        <is>
          <t>Intranet operaciones</t>
        </is>
      </c>
      <c r="I480" t="n">
        <v>8</v>
      </c>
      <c r="J480" s="5" t="n">
        <v>3488.46</v>
      </c>
      <c r="K480" s="5">
        <f>ROUND(I480*J480,2)</f>
        <v/>
      </c>
      <c r="L480" s="3" t="n">
        <v>0.05</v>
      </c>
      <c r="M480" s="5">
        <f>ROUND(K480*(1-L480),2)</f>
        <v/>
      </c>
      <c r="N480" s="5" t="n">
        <v>9127.92</v>
      </c>
      <c r="O480" s="5">
        <f>ROUND(M480-N480,2)</f>
        <v/>
      </c>
      <c r="P480" t="inlineStr">
        <is>
          <t>Pendiente</t>
        </is>
      </c>
    </row>
    <row r="481">
      <c r="A481" t="inlineStr">
        <is>
          <t>ING-0480</t>
        </is>
      </c>
      <c r="B481" s="2" t="n">
        <v>45452</v>
      </c>
      <c r="C481" t="inlineStr">
        <is>
          <t>Smart Factory</t>
        </is>
      </c>
      <c r="D481" t="inlineStr">
        <is>
          <t>Turismo</t>
        </is>
      </c>
      <c r="E481" t="inlineStr">
        <is>
          <t>Chile</t>
        </is>
      </c>
      <c r="F481" t="inlineStr">
        <is>
          <t>Mantenimiento intranets</t>
        </is>
      </c>
      <c r="G481" t="inlineStr">
        <is>
          <t>Soporte anual</t>
        </is>
      </c>
      <c r="H481" t="inlineStr">
        <is>
          <t>Portal internacional</t>
        </is>
      </c>
      <c r="I481" t="n">
        <v>5</v>
      </c>
      <c r="J481" s="5" t="n">
        <v>1745.17</v>
      </c>
      <c r="K481" s="5">
        <f>ROUND(I481*J481,2)</f>
        <v/>
      </c>
      <c r="L481" s="3" t="n">
        <v>0.08</v>
      </c>
      <c r="M481" s="5">
        <f>ROUND(K481*(1-L481),2)</f>
        <v/>
      </c>
      <c r="N481" s="5" t="n">
        <v>2475.5</v>
      </c>
      <c r="O481" s="5">
        <f>ROUND(M481-N481,2)</f>
        <v/>
      </c>
      <c r="P481" t="inlineStr">
        <is>
          <t>Cobrada</t>
        </is>
      </c>
    </row>
    <row r="482">
      <c r="A482" t="inlineStr">
        <is>
          <t>ING-0481</t>
        </is>
      </c>
      <c r="B482" s="2" t="n">
        <v>45461</v>
      </c>
      <c r="C482" t="inlineStr">
        <is>
          <t>Ayuntamiento Norte</t>
        </is>
      </c>
      <c r="D482" t="inlineStr">
        <is>
          <t>Turismo</t>
        </is>
      </c>
      <c r="E482" t="inlineStr">
        <is>
          <t>Portugal</t>
        </is>
      </c>
      <c r="F482" t="inlineStr">
        <is>
          <t>Anuncios RRHH</t>
        </is>
      </c>
      <c r="G482" t="inlineStr">
        <is>
          <t>Retainer trimestral</t>
        </is>
      </c>
      <c r="H482" t="inlineStr">
        <is>
          <t>Centro de prensa</t>
        </is>
      </c>
      <c r="I482" t="n">
        <v>15</v>
      </c>
      <c r="J482" s="5" t="n">
        <v>1695.03</v>
      </c>
      <c r="K482" s="5">
        <f>ROUND(I482*J482,2)</f>
        <v/>
      </c>
      <c r="L482" s="3" t="n">
        <v>0</v>
      </c>
      <c r="M482" s="5">
        <f>ROUND(K482*(1-L482),2)</f>
        <v/>
      </c>
      <c r="N482" s="5" t="n">
        <v>9067.879999999999</v>
      </c>
      <c r="O482" s="5">
        <f>ROUND(M482-N482,2)</f>
        <v/>
      </c>
      <c r="P482" t="inlineStr">
        <is>
          <t>Cobrada</t>
        </is>
      </c>
    </row>
    <row r="483">
      <c r="A483" t="inlineStr">
        <is>
          <t>ING-0482</t>
        </is>
      </c>
      <c r="B483" s="2" t="n">
        <v>45677</v>
      </c>
      <c r="C483" t="inlineStr">
        <is>
          <t>Smart Factory</t>
        </is>
      </c>
      <c r="D483" t="inlineStr">
        <is>
          <t>Finanzas</t>
        </is>
      </c>
      <c r="E483" t="inlineStr">
        <is>
          <t>México</t>
        </is>
      </c>
      <c r="F483" t="inlineStr">
        <is>
          <t>Traducciones</t>
        </is>
      </c>
      <c r="G483" t="inlineStr">
        <is>
          <t>Retainer trimestral</t>
        </is>
      </c>
      <c r="H483" t="inlineStr">
        <is>
          <t>Intranet operaciones</t>
        </is>
      </c>
      <c r="I483" t="n">
        <v>77</v>
      </c>
      <c r="J483" s="5" t="n">
        <v>169.92</v>
      </c>
      <c r="K483" s="5">
        <f>ROUND(I483*J483,2)</f>
        <v/>
      </c>
      <c r="L483" s="3" t="n">
        <v>0.03</v>
      </c>
      <c r="M483" s="5">
        <f>ROUND(K483*(1-L483),2)</f>
        <v/>
      </c>
      <c r="N483" s="5" t="n">
        <v>6585.22</v>
      </c>
      <c r="O483" s="5">
        <f>ROUND(M483-N483,2)</f>
        <v/>
      </c>
      <c r="P483" t="inlineStr">
        <is>
          <t>Emitida</t>
        </is>
      </c>
    </row>
    <row r="484">
      <c r="A484" t="inlineStr">
        <is>
          <t>ING-0483</t>
        </is>
      </c>
      <c r="B484" s="2" t="n">
        <v>45720</v>
      </c>
      <c r="C484" t="inlineStr">
        <is>
          <t>Prensa Local 24</t>
        </is>
      </c>
      <c r="D484" t="inlineStr">
        <is>
          <t>Retail</t>
        </is>
      </c>
      <c r="E484" t="inlineStr">
        <is>
          <t>Portugal</t>
        </is>
      </c>
      <c r="F484" t="inlineStr">
        <is>
          <t>Generación de noticias</t>
        </is>
      </c>
      <c r="G484" t="inlineStr">
        <is>
          <t>Proyecto puntual</t>
        </is>
      </c>
      <c r="H484" t="inlineStr">
        <is>
          <t>Portal corporativo</t>
        </is>
      </c>
      <c r="I484" t="n">
        <v>38</v>
      </c>
      <c r="J484" s="5" t="n">
        <v>42.4</v>
      </c>
      <c r="K484" s="5">
        <f>ROUND(I484*J484,2)</f>
        <v/>
      </c>
      <c r="L484" s="3" t="n">
        <v>0.08</v>
      </c>
      <c r="M484" s="5">
        <f>ROUND(K484*(1-L484),2)</f>
        <v/>
      </c>
      <c r="N484" s="5" t="n">
        <v>928.8</v>
      </c>
      <c r="O484" s="5">
        <f>ROUND(M484-N484,2)</f>
        <v/>
      </c>
      <c r="P484" t="inlineStr">
        <is>
          <t>Cobrada</t>
        </is>
      </c>
    </row>
    <row r="485">
      <c r="A485" t="inlineStr">
        <is>
          <t>ING-0484</t>
        </is>
      </c>
      <c r="B485" s="2" t="n">
        <v>45403</v>
      </c>
      <c r="C485" t="inlineStr">
        <is>
          <t>Retail Vision</t>
        </is>
      </c>
      <c r="D485" t="inlineStr">
        <is>
          <t>Medios</t>
        </is>
      </c>
      <c r="E485" t="inlineStr">
        <is>
          <t>Chile</t>
        </is>
      </c>
      <c r="F485" t="inlineStr">
        <is>
          <t>Anuncios TV</t>
        </is>
      </c>
      <c r="G485" t="inlineStr">
        <is>
          <t>Soporte anual</t>
        </is>
      </c>
      <c r="H485" t="inlineStr">
        <is>
          <t>Centro de prensa</t>
        </is>
      </c>
      <c r="I485" t="n">
        <v>6</v>
      </c>
      <c r="J485" s="5" t="n">
        <v>1572.78</v>
      </c>
      <c r="K485" s="5">
        <f>ROUND(I485*J485,2)</f>
        <v/>
      </c>
      <c r="L485" s="3" t="n">
        <v>0</v>
      </c>
      <c r="M485" s="5">
        <f>ROUND(K485*(1-L485),2)</f>
        <v/>
      </c>
      <c r="N485" s="5" t="n">
        <v>4294.84</v>
      </c>
      <c r="O485" s="5">
        <f>ROUND(M485-N485,2)</f>
        <v/>
      </c>
      <c r="P485" t="inlineStr">
        <is>
          <t>Emitida</t>
        </is>
      </c>
    </row>
    <row r="486">
      <c r="A486" t="inlineStr">
        <is>
          <t>ING-0485</t>
        </is>
      </c>
      <c r="B486" s="2" t="n">
        <v>45520</v>
      </c>
      <c r="C486" t="inlineStr">
        <is>
          <t>FinanData</t>
        </is>
      </c>
      <c r="D486" t="inlineStr">
        <is>
          <t>Salud</t>
        </is>
      </c>
      <c r="E486" t="inlineStr">
        <is>
          <t>Portugal</t>
        </is>
      </c>
      <c r="F486" t="inlineStr">
        <is>
          <t>Publicación de noticias</t>
        </is>
      </c>
      <c r="G486" t="inlineStr">
        <is>
          <t>Suscripción mensual</t>
        </is>
      </c>
      <c r="H486" t="inlineStr">
        <is>
          <t>Intranet operaciones</t>
        </is>
      </c>
      <c r="I486" t="n">
        <v>6</v>
      </c>
      <c r="J486" s="5" t="n">
        <v>179.68</v>
      </c>
      <c r="K486" s="5">
        <f>ROUND(I486*J486,2)</f>
        <v/>
      </c>
      <c r="L486" s="3" t="n">
        <v>0</v>
      </c>
      <c r="M486" s="5">
        <f>ROUND(K486*(1-L486),2)</f>
        <v/>
      </c>
      <c r="N486" s="5" t="n">
        <v>621.95</v>
      </c>
      <c r="O486" s="5">
        <f>ROUND(M486-N486,2)</f>
        <v/>
      </c>
      <c r="P486" t="inlineStr">
        <is>
          <t>Cobrada</t>
        </is>
      </c>
    </row>
    <row r="487">
      <c r="A487" t="inlineStr">
        <is>
          <t>ING-0486</t>
        </is>
      </c>
      <c r="B487" s="2" t="n">
        <v>45438</v>
      </c>
      <c r="C487" t="inlineStr">
        <is>
          <t>Legal360</t>
        </is>
      </c>
      <c r="D487" t="inlineStr">
        <is>
          <t>Tecnología</t>
        </is>
      </c>
      <c r="E487" t="inlineStr">
        <is>
          <t>México</t>
        </is>
      </c>
      <c r="F487" t="inlineStr">
        <is>
          <t>Anuncios RRHH</t>
        </is>
      </c>
      <c r="G487" t="inlineStr">
        <is>
          <t>Campaña</t>
        </is>
      </c>
      <c r="H487" t="inlineStr">
        <is>
          <t>Sección noticias</t>
        </is>
      </c>
      <c r="I487" t="n">
        <v>30</v>
      </c>
      <c r="J487" s="5" t="n">
        <v>2151.32</v>
      </c>
      <c r="K487" s="5">
        <f>ROUND(I487*J487,2)</f>
        <v/>
      </c>
      <c r="L487" s="3" t="n">
        <v>0</v>
      </c>
      <c r="M487" s="5">
        <f>ROUND(K487*(1-L487),2)</f>
        <v/>
      </c>
      <c r="N487" s="5" t="n">
        <v>25785.61</v>
      </c>
      <c r="O487" s="5">
        <f>ROUND(M487-N487,2)</f>
        <v/>
      </c>
      <c r="P487" t="inlineStr">
        <is>
          <t>Emitida</t>
        </is>
      </c>
    </row>
    <row r="488">
      <c r="A488" t="inlineStr">
        <is>
          <t>ING-0487</t>
        </is>
      </c>
      <c r="B488" s="2" t="n">
        <v>45726</v>
      </c>
      <c r="C488" t="inlineStr">
        <is>
          <t>Fundación Horizonte</t>
        </is>
      </c>
      <c r="D488" t="inlineStr">
        <is>
          <t>Administración pública</t>
        </is>
      </c>
      <c r="E488" t="inlineStr">
        <is>
          <t>España</t>
        </is>
      </c>
      <c r="F488" t="inlineStr">
        <is>
          <t>Mantenimiento intranets</t>
        </is>
      </c>
      <c r="G488" t="inlineStr">
        <is>
          <t>Proyecto puntual</t>
        </is>
      </c>
      <c r="H488" t="inlineStr">
        <is>
          <t>Campaña empleo</t>
        </is>
      </c>
      <c r="I488" t="n">
        <v>1</v>
      </c>
      <c r="J488" s="5" t="n">
        <v>1986.38</v>
      </c>
      <c r="K488" s="5">
        <f>ROUND(I488*J488,2)</f>
        <v/>
      </c>
      <c r="L488" s="3" t="n">
        <v>0.08</v>
      </c>
      <c r="M488" s="5">
        <f>ROUND(K488*(1-L488),2)</f>
        <v/>
      </c>
      <c r="N488" s="5" t="n">
        <v>980.62</v>
      </c>
      <c r="O488" s="5">
        <f>ROUND(M488-N488,2)</f>
        <v/>
      </c>
      <c r="P488" t="inlineStr">
        <is>
          <t>Emitida</t>
        </is>
      </c>
    </row>
    <row r="489">
      <c r="A489" t="inlineStr">
        <is>
          <t>ING-0488</t>
        </is>
      </c>
      <c r="B489" s="2" t="n">
        <v>45396</v>
      </c>
      <c r="C489" t="inlineStr">
        <is>
          <t>Campus One</t>
        </is>
      </c>
      <c r="D489" t="inlineStr">
        <is>
          <t>Tecnología</t>
        </is>
      </c>
      <c r="E489" t="inlineStr">
        <is>
          <t>Colombia</t>
        </is>
      </c>
      <c r="F489" t="inlineStr">
        <is>
          <t>Mantenimiento web</t>
        </is>
      </c>
      <c r="G489" t="inlineStr">
        <is>
          <t>Retainer trimestral</t>
        </is>
      </c>
      <c r="H489" t="inlineStr">
        <is>
          <t>Microsite RRHH</t>
        </is>
      </c>
      <c r="I489" t="n">
        <v>6</v>
      </c>
      <c r="J489" s="5" t="n">
        <v>1283.89</v>
      </c>
      <c r="K489" s="5">
        <f>ROUND(I489*J489,2)</f>
        <v/>
      </c>
      <c r="L489" s="3" t="n">
        <v>0</v>
      </c>
      <c r="M489" s="5">
        <f>ROUND(K489*(1-L489),2)</f>
        <v/>
      </c>
      <c r="N489" s="5" t="n">
        <v>4505.51</v>
      </c>
      <c r="O489" s="5">
        <f>ROUND(M489-N489,2)</f>
        <v/>
      </c>
      <c r="P489" t="inlineStr">
        <is>
          <t>Cobrada</t>
        </is>
      </c>
    </row>
    <row r="490">
      <c r="A490" t="inlineStr">
        <is>
          <t>ING-0489</t>
        </is>
      </c>
      <c r="B490" s="2" t="n">
        <v>45704</v>
      </c>
      <c r="C490" t="inlineStr">
        <is>
          <t>EducaPro</t>
        </is>
      </c>
      <c r="D490" t="inlineStr">
        <is>
          <t>Logística</t>
        </is>
      </c>
      <c r="E490" t="inlineStr">
        <is>
          <t>Chile</t>
        </is>
      </c>
      <c r="F490" t="inlineStr">
        <is>
          <t>Anuncios RRHH</t>
        </is>
      </c>
      <c r="G490" t="inlineStr">
        <is>
          <t>Proyecto puntual</t>
        </is>
      </c>
      <c r="H490" t="inlineStr">
        <is>
          <t>Intranet comercial</t>
        </is>
      </c>
      <c r="I490" t="n">
        <v>2</v>
      </c>
      <c r="J490" s="5" t="n">
        <v>1455.14</v>
      </c>
      <c r="K490" s="5">
        <f>ROUND(I490*J490,2)</f>
        <v/>
      </c>
      <c r="L490" s="3" t="n">
        <v>0.03</v>
      </c>
      <c r="M490" s="5">
        <f>ROUND(K490*(1-L490),2)</f>
        <v/>
      </c>
      <c r="N490" s="5" t="n">
        <v>1265.98</v>
      </c>
      <c r="O490" s="5">
        <f>ROUND(M490-N490,2)</f>
        <v/>
      </c>
      <c r="P490" t="inlineStr">
        <is>
          <t>Pendiente</t>
        </is>
      </c>
    </row>
    <row r="491">
      <c r="A491" t="inlineStr">
        <is>
          <t>ING-0490</t>
        </is>
      </c>
      <c r="B491" s="2" t="n">
        <v>45495</v>
      </c>
      <c r="C491" t="inlineStr">
        <is>
          <t>EcoLogística</t>
        </is>
      </c>
      <c r="D491" t="inlineStr">
        <is>
          <t>Finanzas</t>
        </is>
      </c>
      <c r="E491" t="inlineStr">
        <is>
          <t>España</t>
        </is>
      </c>
      <c r="F491" t="inlineStr">
        <is>
          <t>Anuncios RRHH</t>
        </is>
      </c>
      <c r="G491" t="inlineStr">
        <is>
          <t>Suscripción mensual</t>
        </is>
      </c>
      <c r="H491" t="inlineStr">
        <is>
          <t>Campaña empleo</t>
        </is>
      </c>
      <c r="I491" t="n">
        <v>11</v>
      </c>
      <c r="J491" s="5" t="n">
        <v>594.51</v>
      </c>
      <c r="K491" s="5">
        <f>ROUND(I491*J491,2)</f>
        <v/>
      </c>
      <c r="L491" s="3" t="n">
        <v>0.08</v>
      </c>
      <c r="M491" s="5">
        <f>ROUND(K491*(1-L491),2)</f>
        <v/>
      </c>
      <c r="N491" s="5" t="n">
        <v>3591.4</v>
      </c>
      <c r="O491" s="5">
        <f>ROUND(M491-N491,2)</f>
        <v/>
      </c>
      <c r="P491" t="inlineStr">
        <is>
          <t>Pendiente</t>
        </is>
      </c>
    </row>
    <row r="492">
      <c r="A492" t="inlineStr">
        <is>
          <t>ING-0491</t>
        </is>
      </c>
      <c r="B492" s="2" t="n">
        <v>45389</v>
      </c>
      <c r="C492" t="inlineStr">
        <is>
          <t>Legal360</t>
        </is>
      </c>
      <c r="D492" t="inlineStr">
        <is>
          <t>Retail</t>
        </is>
      </c>
      <c r="E492" t="inlineStr">
        <is>
          <t>Portugal</t>
        </is>
      </c>
      <c r="F492" t="inlineStr">
        <is>
          <t>Anuncios RRHH</t>
        </is>
      </c>
      <c r="G492" t="inlineStr">
        <is>
          <t>Suscripción mensual</t>
        </is>
      </c>
      <c r="H492" t="inlineStr">
        <is>
          <t>Campaña empleo</t>
        </is>
      </c>
      <c r="I492" t="n">
        <v>30</v>
      </c>
      <c r="J492" s="5" t="n">
        <v>631.05</v>
      </c>
      <c r="K492" s="5">
        <f>ROUND(I492*J492,2)</f>
        <v/>
      </c>
      <c r="L492" s="3" t="n">
        <v>0</v>
      </c>
      <c r="M492" s="5">
        <f>ROUND(K492*(1-L492),2)</f>
        <v/>
      </c>
      <c r="N492" s="5" t="n">
        <v>11980.05</v>
      </c>
      <c r="O492" s="5">
        <f>ROUND(M492-N492,2)</f>
        <v/>
      </c>
      <c r="P492" t="inlineStr">
        <is>
          <t>Cobrada</t>
        </is>
      </c>
    </row>
    <row r="493">
      <c r="A493" t="inlineStr">
        <is>
          <t>ING-0492</t>
        </is>
      </c>
      <c r="B493" s="2" t="n">
        <v>45347</v>
      </c>
      <c r="C493" t="inlineStr">
        <is>
          <t>Grupo Atlas</t>
        </is>
      </c>
      <c r="D493" t="inlineStr">
        <is>
          <t>Turismo</t>
        </is>
      </c>
      <c r="E493" t="inlineStr">
        <is>
          <t>Portugal</t>
        </is>
      </c>
      <c r="F493" t="inlineStr">
        <is>
          <t>Anuncios internet</t>
        </is>
      </c>
      <c r="G493" t="inlineStr">
        <is>
          <t>Campaña</t>
        </is>
      </c>
      <c r="H493" t="inlineStr">
        <is>
          <t>Microsite RRHH</t>
        </is>
      </c>
      <c r="I493" t="n">
        <v>7</v>
      </c>
      <c r="J493" s="5" t="n">
        <v>773.04</v>
      </c>
      <c r="K493" s="5">
        <f>ROUND(I493*J493,2)</f>
        <v/>
      </c>
      <c r="L493" s="3" t="n">
        <v>0.08</v>
      </c>
      <c r="M493" s="5">
        <f>ROUND(K493*(1-L493),2)</f>
        <v/>
      </c>
      <c r="N493" s="5" t="n">
        <v>1836.6</v>
      </c>
      <c r="O493" s="5">
        <f>ROUND(M493-N493,2)</f>
        <v/>
      </c>
      <c r="P493" t="inlineStr">
        <is>
          <t>Pendiente</t>
        </is>
      </c>
    </row>
    <row r="494">
      <c r="A494" t="inlineStr">
        <is>
          <t>ING-0493</t>
        </is>
      </c>
      <c r="B494" s="2" t="n">
        <v>45625</v>
      </c>
      <c r="C494" t="inlineStr">
        <is>
          <t>SegurPlus</t>
        </is>
      </c>
      <c r="D494" t="inlineStr">
        <is>
          <t>RRHH</t>
        </is>
      </c>
      <c r="E494" t="inlineStr">
        <is>
          <t>Portugal</t>
        </is>
      </c>
      <c r="F494" t="inlineStr">
        <is>
          <t>Anuncios prensa</t>
        </is>
      </c>
      <c r="G494" t="inlineStr">
        <is>
          <t>Soporte anual</t>
        </is>
      </c>
      <c r="H494" t="inlineStr">
        <is>
          <t>Centro de prensa</t>
        </is>
      </c>
      <c r="I494" t="n">
        <v>28</v>
      </c>
      <c r="J494" s="5" t="n">
        <v>215.85</v>
      </c>
      <c r="K494" s="5">
        <f>ROUND(I494*J494,2)</f>
        <v/>
      </c>
      <c r="L494" s="3" t="n">
        <v>0.05</v>
      </c>
      <c r="M494" s="5">
        <f>ROUND(K494*(1-L494),2)</f>
        <v/>
      </c>
      <c r="N494" s="5" t="n">
        <v>2945.92</v>
      </c>
      <c r="O494" s="5">
        <f>ROUND(M494-N494,2)</f>
        <v/>
      </c>
      <c r="P494" t="inlineStr">
        <is>
          <t>Pendiente</t>
        </is>
      </c>
    </row>
    <row r="495">
      <c r="A495" t="inlineStr">
        <is>
          <t>ING-0494</t>
        </is>
      </c>
      <c r="B495" s="2" t="n">
        <v>45516</v>
      </c>
      <c r="C495" t="inlineStr">
        <is>
          <t>Fundación Horizonte</t>
        </is>
      </c>
      <c r="D495" t="inlineStr">
        <is>
          <t>Educación</t>
        </is>
      </c>
      <c r="E495" t="inlineStr">
        <is>
          <t>Colombia</t>
        </is>
      </c>
      <c r="F495" t="inlineStr">
        <is>
          <t>Mantenimiento web</t>
        </is>
      </c>
      <c r="G495" t="inlineStr">
        <is>
          <t>Retainer trimestral</t>
        </is>
      </c>
      <c r="H495" t="inlineStr">
        <is>
          <t>Campaña empleo</t>
        </is>
      </c>
      <c r="I495" t="n">
        <v>2</v>
      </c>
      <c r="J495" s="5" t="n">
        <v>3227.88</v>
      </c>
      <c r="K495" s="5">
        <f>ROUND(I495*J495,2)</f>
        <v/>
      </c>
      <c r="L495" s="3" t="n">
        <v>0</v>
      </c>
      <c r="M495" s="5">
        <f>ROUND(K495*(1-L495),2)</f>
        <v/>
      </c>
      <c r="N495" s="5" t="n">
        <v>4312.96</v>
      </c>
      <c r="O495" s="5">
        <f>ROUND(M495-N495,2)</f>
        <v/>
      </c>
      <c r="P495" t="inlineStr">
        <is>
          <t>Cobrada</t>
        </is>
      </c>
    </row>
    <row r="496">
      <c r="A496" t="inlineStr">
        <is>
          <t>ING-0495</t>
        </is>
      </c>
      <c r="B496" s="2" t="n">
        <v>45697</v>
      </c>
      <c r="C496" t="inlineStr">
        <is>
          <t>Industrias Vega</t>
        </is>
      </c>
      <c r="D496" t="inlineStr">
        <is>
          <t>Salud</t>
        </is>
      </c>
      <c r="E496" t="inlineStr">
        <is>
          <t>Portugal</t>
        </is>
      </c>
      <c r="F496" t="inlineStr">
        <is>
          <t>Mantenimiento intranets</t>
        </is>
      </c>
      <c r="G496" t="inlineStr">
        <is>
          <t>Proyecto puntual</t>
        </is>
      </c>
      <c r="H496" t="inlineStr">
        <is>
          <t>Centro de prensa</t>
        </is>
      </c>
      <c r="I496" t="n">
        <v>1</v>
      </c>
      <c r="J496" s="5" t="n">
        <v>1458.6</v>
      </c>
      <c r="K496" s="5">
        <f>ROUND(I496*J496,2)</f>
        <v/>
      </c>
      <c r="L496" s="3" t="n">
        <v>0.05</v>
      </c>
      <c r="M496" s="5">
        <f>ROUND(K496*(1-L496),2)</f>
        <v/>
      </c>
      <c r="N496" s="5" t="n">
        <v>701.1799999999999</v>
      </c>
      <c r="O496" s="5">
        <f>ROUND(M496-N496,2)</f>
        <v/>
      </c>
      <c r="P496" t="inlineStr">
        <is>
          <t>Cobrada</t>
        </is>
      </c>
    </row>
    <row r="497">
      <c r="A497" t="inlineStr">
        <is>
          <t>ING-0496</t>
        </is>
      </c>
      <c r="B497" s="2" t="n">
        <v>45677</v>
      </c>
      <c r="C497" t="inlineStr">
        <is>
          <t>TurisWorld</t>
        </is>
      </c>
      <c r="D497" t="inlineStr">
        <is>
          <t>Finanzas</t>
        </is>
      </c>
      <c r="E497" t="inlineStr">
        <is>
          <t>Portugal</t>
        </is>
      </c>
      <c r="F497" t="inlineStr">
        <is>
          <t>Anuncios RRHH</t>
        </is>
      </c>
      <c r="G497" t="inlineStr">
        <is>
          <t>Proyecto puntual</t>
        </is>
      </c>
      <c r="H497" t="inlineStr">
        <is>
          <t>Sección noticias</t>
        </is>
      </c>
      <c r="I497" t="n">
        <v>16</v>
      </c>
      <c r="J497" s="5" t="n">
        <v>1916.28</v>
      </c>
      <c r="K497" s="5">
        <f>ROUND(I497*J497,2)</f>
        <v/>
      </c>
      <c r="L497" s="3" t="n">
        <v>0.08</v>
      </c>
      <c r="M497" s="5">
        <f>ROUND(K497*(1-L497),2)</f>
        <v/>
      </c>
      <c r="N497" s="5" t="n">
        <v>17287.2</v>
      </c>
      <c r="O497" s="5">
        <f>ROUND(M497-N497,2)</f>
        <v/>
      </c>
      <c r="P497" t="inlineStr">
        <is>
          <t>Emitida</t>
        </is>
      </c>
    </row>
    <row r="498">
      <c r="A498" t="inlineStr">
        <is>
          <t>ING-0497</t>
        </is>
      </c>
      <c r="B498" s="2" t="n">
        <v>45347</v>
      </c>
      <c r="C498" t="inlineStr">
        <is>
          <t>TechSphere</t>
        </is>
      </c>
      <c r="D498" t="inlineStr">
        <is>
          <t>Finanzas</t>
        </is>
      </c>
      <c r="E498" t="inlineStr">
        <is>
          <t>España</t>
        </is>
      </c>
      <c r="F498" t="inlineStr">
        <is>
          <t>Mantenimiento web</t>
        </is>
      </c>
      <c r="G498" t="inlineStr">
        <is>
          <t>Proyecto puntual</t>
        </is>
      </c>
      <c r="H498" t="inlineStr">
        <is>
          <t>Portal corporativo</t>
        </is>
      </c>
      <c r="I498" t="n">
        <v>1</v>
      </c>
      <c r="J498" s="5" t="n">
        <v>1383.99</v>
      </c>
      <c r="K498" s="5">
        <f>ROUND(I498*J498,2)</f>
        <v/>
      </c>
      <c r="L498" s="3" t="n">
        <v>0</v>
      </c>
      <c r="M498" s="5">
        <f>ROUND(K498*(1-L498),2)</f>
        <v/>
      </c>
      <c r="N498" s="5" t="n">
        <v>584.8</v>
      </c>
      <c r="O498" s="5">
        <f>ROUND(M498-N498,2)</f>
        <v/>
      </c>
      <c r="P498" t="inlineStr">
        <is>
          <t>Emitida</t>
        </is>
      </c>
    </row>
    <row r="499">
      <c r="A499" t="inlineStr">
        <is>
          <t>ING-0498</t>
        </is>
      </c>
      <c r="B499" s="2" t="n">
        <v>45354</v>
      </c>
      <c r="C499" t="inlineStr">
        <is>
          <t>Legal360</t>
        </is>
      </c>
      <c r="D499" t="inlineStr">
        <is>
          <t>Industria</t>
        </is>
      </c>
      <c r="E499" t="inlineStr">
        <is>
          <t>México</t>
        </is>
      </c>
      <c r="F499" t="inlineStr">
        <is>
          <t>Generación de noticias</t>
        </is>
      </c>
      <c r="G499" t="inlineStr">
        <is>
          <t>Suscripción mensual</t>
        </is>
      </c>
      <c r="H499" t="inlineStr">
        <is>
          <t>Intranet operaciones</t>
        </is>
      </c>
      <c r="I499" t="n">
        <v>64</v>
      </c>
      <c r="J499" s="5" t="n">
        <v>101.74</v>
      </c>
      <c r="K499" s="5">
        <f>ROUND(I499*J499,2)</f>
        <v/>
      </c>
      <c r="L499" s="3" t="n">
        <v>0.05</v>
      </c>
      <c r="M499" s="5">
        <f>ROUND(K499*(1-L499),2)</f>
        <v/>
      </c>
      <c r="N499" s="5" t="n">
        <v>3683</v>
      </c>
      <c r="O499" s="5">
        <f>ROUND(M499-N499,2)</f>
        <v/>
      </c>
      <c r="P499" t="inlineStr">
        <is>
          <t>Emitida</t>
        </is>
      </c>
    </row>
    <row r="500">
      <c r="A500" t="inlineStr">
        <is>
          <t>ING-0499</t>
        </is>
      </c>
      <c r="B500" s="2" t="n">
        <v>45419</v>
      </c>
      <c r="C500" t="inlineStr">
        <is>
          <t>Nova Salud</t>
        </is>
      </c>
      <c r="D500" t="inlineStr">
        <is>
          <t>Retail</t>
        </is>
      </c>
      <c r="E500" t="inlineStr">
        <is>
          <t>México</t>
        </is>
      </c>
      <c r="F500" t="inlineStr">
        <is>
          <t>Anuncios internet</t>
        </is>
      </c>
      <c r="G500" t="inlineStr">
        <is>
          <t>Retainer trimestral</t>
        </is>
      </c>
      <c r="H500" t="inlineStr">
        <is>
          <t>Campaña empleo</t>
        </is>
      </c>
      <c r="I500" t="n">
        <v>21</v>
      </c>
      <c r="J500" s="5" t="n">
        <v>966.33</v>
      </c>
      <c r="K500" s="5">
        <f>ROUND(I500*J500,2)</f>
        <v/>
      </c>
      <c r="L500" s="3" t="n">
        <v>0</v>
      </c>
      <c r="M500" s="5">
        <f>ROUND(K500*(1-L500),2)</f>
        <v/>
      </c>
      <c r="N500" s="5" t="n">
        <v>12174.66</v>
      </c>
      <c r="O500" s="5">
        <f>ROUND(M500-N500,2)</f>
        <v/>
      </c>
      <c r="P500" t="inlineStr">
        <is>
          <t>Emitida</t>
        </is>
      </c>
    </row>
    <row r="501">
      <c r="A501" t="inlineStr">
        <is>
          <t>ING-0500</t>
        </is>
      </c>
      <c r="B501" s="2" t="n">
        <v>45709</v>
      </c>
      <c r="C501" t="inlineStr">
        <is>
          <t>ClinicPoint</t>
        </is>
      </c>
      <c r="D501" t="inlineStr">
        <is>
          <t>Retail</t>
        </is>
      </c>
      <c r="E501" t="inlineStr">
        <is>
          <t>Portugal</t>
        </is>
      </c>
      <c r="F501" t="inlineStr">
        <is>
          <t>Publicación de noticias</t>
        </is>
      </c>
      <c r="G501" t="inlineStr">
        <is>
          <t>Suscripción mensual</t>
        </is>
      </c>
      <c r="H501" t="inlineStr">
        <is>
          <t>Campaña empleo</t>
        </is>
      </c>
      <c r="I501" t="n">
        <v>99</v>
      </c>
      <c r="J501" s="5" t="n">
        <v>121.44</v>
      </c>
      <c r="K501" s="5">
        <f>ROUND(I501*J501,2)</f>
        <v/>
      </c>
      <c r="L501" s="3" t="n">
        <v>0.03</v>
      </c>
      <c r="M501" s="5">
        <f>ROUND(K501*(1-L501),2)</f>
        <v/>
      </c>
      <c r="N501" s="5" t="n">
        <v>6984.21</v>
      </c>
      <c r="O501" s="5">
        <f>ROUND(M501-N501,2)</f>
        <v/>
      </c>
      <c r="P501" t="inlineStr">
        <is>
          <t>Pendiente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2026-04-20T19:33:56Z</dcterms:created>
  <dcterms:modified xmlns:dcterms="http://purl.org/dc/terms/" xmlns:xsi="http://www.w3.org/2001/XMLSchema-instance" xsi:type="dcterms:W3CDTF">2026-04-20T19:33:56Z</dcterms:modified>
</cp:coreProperties>
</file>